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060c918723947d8" /></Relationships>
</file>

<file path=xl/workbook.xml><?xml version="1.0" encoding="utf-8"?>
<x:workbook xmlns:x="http://schemas.openxmlformats.org/spreadsheetml/2006/main">
  <x:sheets>
    <x:sheet xmlns:r="http://schemas.openxmlformats.org/officeDocument/2006/relationships" name="Dashboard" sheetId="1" r:id="R6d55601f7da340a7"/>
    <x:sheet xmlns:r="http://schemas.openxmlformats.org/officeDocument/2006/relationships" name="Scorecard" sheetId="2" r:id="R7d95040109b64687"/>
    <x:sheet xmlns:r="http://schemas.openxmlformats.org/officeDocument/2006/relationships" name="Prompt Bank" sheetId="3" r:id="R715e77290eed44c1"/>
    <x:sheet xmlns:r="http://schemas.openxmlformats.org/officeDocument/2006/relationships" name="Rubric &amp; Guide" sheetId="4" r:id="R95eb21cec4f647ae"/>
    <x:sheet xmlns:r="http://schemas.openxmlformats.org/officeDocument/2006/relationships" name="Model Factsheet" sheetId="5" r:id="R37f6efd0e73b4e2f"/>
    <x:sheet xmlns:r="http://schemas.openxmlformats.org/officeDocument/2006/relationships" name="Recorded Responses" sheetId="6" r:id="Rf023863a34b04eb9"/>
    <x:sheet xmlns:r="http://schemas.openxmlformats.org/officeDocument/2006/relationships" name="Analysis &amp; Recs" sheetId="7" r:id="Rc1501df3c089461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
  </x:numFmts>
  <x:fonts count="17">
    <x:font>
      <x:sz val="11"/>
      <x:color theme="1"/>
      <x:name val="Calibri"/>
    </x:font>
    <x:font>
      <x:b/>
      <x:sz val="18"/>
      <x:color rgb="FFFFFFFF"/>
      <x:name val="Aptos Display"/>
    </x:font>
    <x:font>
      <x:i/>
      <x:sz val="10"/>
      <x:color rgb="FF5B6573"/>
      <x:name val="Aptos"/>
    </x:font>
    <x:font>
      <x:b/>
      <x:color rgb="FFFFFFFF"/>
    </x:font>
    <x:font>
      <x:b/>
      <x:color rgb="FF17324D"/>
    </x:font>
    <x:font>
      <x:color rgb="FF17324D"/>
    </x:font>
    <x:font>
      <x:b/>
      <x:sz val="14"/>
      <x:color rgb="FF17324D"/>
    </x:font>
    <x:font>
      <x:b/>
      <x:color rgb="FF202938"/>
    </x:font>
    <x:font>
      <x:sz val="10"/>
      <x:color rgb="FF202938"/>
      <x:name val="Aptos"/>
    </x:font>
    <x:font>
      <x:b/>
      <x:sz val="10"/>
      <x:color rgb="FFFFFFFF"/>
      <x:name val="Aptos"/>
    </x:font>
    <x:font>
      <x:b/>
      <x:sz val="11"/>
      <x:color rgb="FFFFFFFF"/>
      <x:name val="Calibri"/>
    </x:font>
    <x:font>
      <x:b/>
      <x:sz val="16"/>
      <x:color rgb="FFFFFFFF"/>
      <x:name val="Aptos Display"/>
    </x:font>
    <x:font>
      <x:b/>
      <x:sz val="16"/>
      <x:color rgb="FFFFFFFF"/>
      <x:name val="Calibri"/>
    </x:font>
    <x:font>
      <x:i/>
      <x:sz val="10"/>
      <x:color rgb="FF334155"/>
      <x:name val="Aptos"/>
    </x:font>
    <x:font>
      <x:i/>
      <x:sz val="10"/>
      <x:color rgb="FF334155"/>
      <x:name val="Calibri"/>
    </x:font>
    <x:font>
      <x:i/>
      <x:sz val="11"/>
      <x:color rgb="FF334155"/>
      <x:name val="Calibri"/>
    </x:font>
    <x:font>
      <x:b/>
      <x:sz val="11"/>
      <x:color rgb="FF0B1624"/>
      <x:name val="Calibri"/>
    </x:font>
  </x:fonts>
  <x:fills count="12">
    <x:fill>
      <x:patternFill patternType="none"/>
    </x:fill>
    <x:fill>
      <x:patternFill patternType="gray125"/>
    </x:fill>
    <x:fill>
      <x:patternFill patternType="solid">
        <x:fgColor rgb="FF17324D"/>
      </x:patternFill>
    </x:fill>
    <x:fill>
      <x:patternFill patternType="solid">
        <x:fgColor rgb="FF245A81"/>
      </x:patternFill>
    </x:fill>
    <x:fill>
      <x:patternFill patternType="solid">
        <x:fgColor rgb="FFDCE8F2"/>
      </x:patternFill>
    </x:fill>
    <x:fill>
      <x:patternFill patternType="solid">
        <x:fgColor rgb="FFEAF2F8"/>
      </x:patternFill>
    </x:fill>
    <x:fill>
      <x:patternFill patternType="solid">
        <x:fgColor rgb="FFFFFFFF"/>
      </x:patternFill>
    </x:fill>
    <x:fill>
      <x:patternFill patternType="solid">
        <x:fgColor rgb="FFFFF2CC"/>
      </x:patternFill>
    </x:fill>
    <x:fill>
      <x:patternFill patternType="solid">
        <x:fgColor rgb="FF12304A"/>
      </x:patternFill>
    </x:fill>
    <x:fill>
      <x:patternFill patternType="solid">
        <x:fgColor rgb="FF0B1624"/>
      </x:patternFill>
    </x:fill>
    <x:fill>
      <x:patternFill patternType="solid">
        <x:fgColor rgb="FFEAF1F7"/>
      </x:patternFill>
    </x:fill>
    <x:fill>
      <x:patternFill patternType="solid">
        <x:fgColor rgb="FFD7E6F4"/>
      </x:patternFill>
    </x:fill>
  </x:fills>
  <x:borders count="4">
    <x:border/>
    <x:border>
      <x:bottom style="thin">
        <x:color rgb="FFD5DEE8"/>
      </x:bottom>
    </x:border>
    <x:border>
      <x:bottom style="hair">
        <x:color rgb="FFE3E8EF"/>
      </x:bottom>
    </x:border>
    <x:border/>
  </x:borders>
  <x:cellStyleXfs count="1">
    <x:xf numFmtId="0" fontId="0" fillId="0" borderId="0"/>
  </x:cellStyleXfs>
  <x:cellXfs count="83">
    <x:xf numFmtId="0" fontId="0" fillId="0" borderId="0" xfId="0"/>
    <x:xf numFmtId="0" fontId="1" fillId="2" borderId="0" xfId="0" applyAlignment="1">
      <x:alignment vertical="center"/>
    </x:xf>
    <x:xf numFmtId="0" fontId="2" fillId="0" borderId="0" xfId="0" applyAlignment="1">
      <x:alignment vertical="center" wrapText="1"/>
    </x:xf>
    <x:xf numFmtId="0" fontId="8" fillId="0" borderId="0" xfId="0" applyAlignment="1">
      <x:alignment vertical="top" wrapText="1"/>
    </x:xf>
    <x:xf numFmtId="0" fontId="8" fillId="5" borderId="1" xfId="0" applyAlignment="1">
      <x:alignment vertical="top" wrapText="1"/>
    </x:xf>
    <x:xf numFmtId="0" fontId="0" fillId="6" borderId="1" xfId="0" applyAlignment="1">
      <x:alignment vertical="top" wrapText="1"/>
    </x:xf>
    <x:xf numFmtId="0" fontId="8" fillId="3" borderId="1" xfId="0" applyAlignment="1">
      <x:alignment vertical="center" wrapText="1"/>
    </x:xf>
    <x:xf numFmtId="0" fontId="0" fillId="0" borderId="0" xfId="0" applyAlignment="1">
      <x:alignment vertical="top" wrapText="1"/>
    </x:xf>
    <x:xf numFmtId="0" fontId="0" fillId="7" borderId="0" xfId="0" applyAlignment="1">
      <x:alignment vertical="top" wrapText="1"/>
    </x:xf>
    <x:xf numFmtId="0" fontId="0" fillId="0" borderId="2" xfId="0" applyAlignment="1">
      <x:alignment vertical="top"/>
    </x:xf>
    <x:xf numFmtId="0" fontId="0" fillId="0" borderId="2" xfId="0" applyAlignment="1">
      <x:alignment vertical="top" wrapText="1"/>
    </x:xf>
    <x:xf numFmtId="1" fontId="0" fillId="0" borderId="2" xfId="0" applyAlignment="1">
      <x:alignment vertical="top"/>
    </x:xf>
    <x:xf numFmtId="0" fontId="8" fillId="3" borderId="0" xfId="0" applyAlignment="1">
      <x:alignment vertical="top" wrapText="1"/>
    </x:xf>
    <x:xf numFmtId="0" fontId="8" fillId="4" borderId="0" xfId="0" applyAlignment="1">
      <x:alignment vertical="top" wrapText="1"/>
    </x:xf>
    <x:xf numFmtId="0" fontId="0" fillId="0" borderId="3" xfId="0" applyNumberFormat="1" applyFont="1" applyFill="1" applyBorder="1"/>
    <x:xf numFmtId="0" fontId="1" fillId="2" borderId="3" xfId="0" applyNumberFormat="1" applyFont="1" applyFill="1" applyBorder="1" applyAlignment="1">
      <x:alignment vertical="center"/>
    </x:xf>
    <x:xf numFmtId="0" fontId="2" fillId="0" borderId="3" xfId="0" applyNumberFormat="1" applyFont="1" applyFill="1" applyBorder="1" applyAlignment="1">
      <x:alignment vertical="center" wrapText="1"/>
    </x:xf>
    <x:xf numFmtId="0" fontId="8" fillId="0" borderId="3" xfId="0" applyNumberFormat="1" applyFont="1" applyFill="1" applyBorder="1" applyAlignment="1">
      <x:alignment vertical="top" wrapText="1"/>
    </x:xf>
    <x:xf numFmtId="0" fontId="8" fillId="5" borderId="1"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8" fillId="3" borderId="1" xfId="0" applyNumberFormat="1" applyFont="1" applyFill="1" applyBorder="1" applyAlignment="1">
      <x:alignment vertical="center" wrapText="1"/>
    </x:xf>
    <x:xf numFmtId="0" fontId="0" fillId="0" borderId="3" xfId="0" applyNumberFormat="1" applyFont="1" applyFill="1" applyBorder="1" applyAlignment="1">
      <x:alignment vertical="top" wrapText="1"/>
    </x:xf>
    <x:xf numFmtId="0" fontId="0" fillId="7" borderId="3" xfId="0" applyNumberFormat="1" applyFont="1" applyFill="1" applyBorder="1" applyAlignment="1">
      <x:alignment vertical="top" wrapText="1"/>
    </x:xf>
    <x:xf numFmtId="0" fontId="0" fillId="0" borderId="2" xfId="0" applyNumberFormat="1" applyFont="1" applyFill="1" applyBorder="1" applyAlignment="1">
      <x:alignment vertical="top"/>
    </x:xf>
    <x:xf numFmtId="0" fontId="0" fillId="0" borderId="2" xfId="0" applyNumberFormat="1" applyFont="1" applyFill="1" applyBorder="1" applyAlignment="1">
      <x:alignment vertical="top" wrapText="1"/>
    </x:xf>
    <x:xf numFmtId="1" fontId="0" fillId="0" borderId="2" xfId="0" applyNumberFormat="1" applyFont="1" applyFill="1" applyBorder="1" applyAlignment="1">
      <x:alignment vertical="top"/>
    </x:xf>
    <x:xf numFmtId="0" fontId="8" fillId="3" borderId="3" xfId="0" applyNumberFormat="1" applyFont="1" applyFill="1" applyBorder="1" applyAlignment="1">
      <x:alignment vertical="top" wrapText="1"/>
    </x:xf>
    <x:xf numFmtId="0" fontId="8" fillId="4" borderId="3" xfId="0" applyNumberFormat="1" applyFont="1" applyFill="1" applyBorder="1" applyAlignment="1">
      <x:alignment vertical="top" wrapText="1"/>
    </x:xf>
    <x:xf numFmtId="0" fontId="8" fillId="8" borderId="1" xfId="0" applyNumberFormat="1" applyFont="1" applyFill="1" applyBorder="1" applyAlignment="1">
      <x:alignment vertical="center" wrapText="1"/>
    </x:xf>
    <x:xf numFmtId="0" fontId="0" fillId="8" borderId="0" xfId="0" applyNumberFormat="1" applyFont="1" applyFill="1" applyBorder="1"/>
    <x:xf numFmtId="0" fontId="9" fillId="8" borderId="1" xfId="0" applyNumberFormat="1" applyFont="1" applyFill="1" applyBorder="1" applyAlignment="1">
      <x:alignment vertical="center" wrapText="1"/>
    </x:xf>
    <x:xf numFmtId="0" fontId="10" fillId="8" borderId="0" xfId="0" applyNumberFormat="1" applyFont="1" applyFill="1" applyBorder="1"/>
    <x:xf numFmtId="0" fontId="10" fillId="8" borderId="0" xfId="0" applyNumberFormat="1" applyFont="1" applyFill="1" applyBorder="1" applyAlignment="1">
      <x:alignment wrapText="1"/>
    </x:xf>
    <x:xf numFmtId="0" fontId="9" fillId="8" borderId="1" xfId="0" applyNumberFormat="1" applyFont="1" applyFill="1" applyBorder="1" applyAlignment="1">
      <x:alignment horizontal="center" vertical="center" wrapText="1"/>
    </x:xf>
    <x:xf numFmtId="0" fontId="10" fillId="8" borderId="0" xfId="0" applyNumberFormat="1" applyFont="1" applyFill="1" applyBorder="1" applyAlignment="1">
      <x:alignment horizontal="center" wrapText="1"/>
    </x:xf>
    <x:xf numFmtId="0" fontId="10" fillId="8" borderId="0" xfId="0" applyNumberFormat="1" applyFont="1" applyFill="1" applyBorder="1" applyAlignment="1">
      <x:alignment horizontal="center" vertical="center" wrapText="1"/>
    </x:xf>
    <x:xf numFmtId="0" fontId="0" fillId="8" borderId="3" xfId="0" applyNumberFormat="1" applyFont="1" applyFill="1" applyBorder="1"/>
    <x:xf numFmtId="0" fontId="10" fillId="8" borderId="3" xfId="0" applyNumberFormat="1" applyFont="1" applyFill="1" applyBorder="1"/>
    <x:xf numFmtId="0" fontId="10" fillId="8" borderId="3" xfId="0" applyNumberFormat="1" applyFont="1" applyFill="1" applyBorder="1" applyAlignment="1">
      <x:alignment wrapText="1"/>
    </x:xf>
    <x:xf numFmtId="0" fontId="10" fillId="8" borderId="3" xfId="0" applyNumberFormat="1" applyFont="1" applyFill="1" applyBorder="1" applyAlignment="1">
      <x:alignment horizontal="center" wrapText="1"/>
    </x:xf>
    <x:xf numFmtId="0" fontId="10" fillId="8" borderId="3"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3" xfId="0" applyNumberFormat="1" applyFont="1" applyFill="1" applyBorder="1" applyAlignment="1">
      <x:alignment wrapText="1"/>
    </x:xf>
    <x:xf numFmtId="0" fontId="1" fillId="9" borderId="0" xfId="0" applyNumberFormat="1" applyFont="1" applyFill="1" applyBorder="1" applyAlignment="1">
      <x:alignment vertical="center"/>
    </x:xf>
    <x:xf numFmtId="0" fontId="0" fillId="9" borderId="0" xfId="0" applyNumberFormat="1" applyFont="1" applyFill="1" applyBorder="1"/>
    <x:xf numFmtId="0" fontId="11" fillId="9" borderId="0" xfId="0" applyNumberFormat="1" applyFont="1" applyFill="1" applyBorder="1" applyAlignment="1">
      <x:alignment vertical="center"/>
    </x:xf>
    <x:xf numFmtId="0" fontId="12" fillId="9" borderId="0" xfId="0" applyNumberFormat="1" applyFont="1" applyFill="1" applyBorder="1"/>
    <x:xf numFmtId="0" fontId="12" fillId="9" borderId="0" xfId="0" applyNumberFormat="1" applyFont="1" applyFill="1" applyBorder="1" applyAlignment="1">
      <x:alignment vertical="center"/>
    </x:xf>
    <x:xf numFmtId="0" fontId="1" fillId="9" borderId="3" xfId="0" applyNumberFormat="1" applyFont="1" applyFill="1" applyBorder="1" applyAlignment="1">
      <x:alignment vertical="center"/>
    </x:xf>
    <x:xf numFmtId="0" fontId="0" fillId="9" borderId="3" xfId="0" applyNumberFormat="1" applyFont="1" applyFill="1" applyBorder="1"/>
    <x:xf numFmtId="0" fontId="11" fillId="9" borderId="3" xfId="0" applyNumberFormat="1" applyFont="1" applyFill="1" applyBorder="1" applyAlignment="1">
      <x:alignment vertical="center"/>
    </x:xf>
    <x:xf numFmtId="0" fontId="12" fillId="9" borderId="3" xfId="0" applyNumberFormat="1" applyFont="1" applyFill="1" applyBorder="1"/>
    <x:xf numFmtId="0" fontId="12" fillId="9" borderId="3" xfId="0" applyNumberFormat="1" applyFont="1" applyFill="1" applyBorder="1" applyAlignment="1">
      <x:alignment vertical="center"/>
    </x:xf>
    <x:xf numFmtId="0" fontId="2" fillId="10" borderId="0" xfId="0" applyNumberFormat="1" applyFont="1" applyFill="1" applyBorder="1" applyAlignment="1">
      <x:alignment vertical="center" wrapText="1"/>
    </x:xf>
    <x:xf numFmtId="0" fontId="0" fillId="10" borderId="0" xfId="0" applyNumberFormat="1" applyFont="1" applyFill="1" applyBorder="1"/>
    <x:xf numFmtId="0" fontId="13" fillId="10" borderId="0" xfId="0" applyNumberFormat="1" applyFont="1" applyFill="1" applyBorder="1" applyAlignment="1">
      <x:alignment vertical="center" wrapText="1"/>
    </x:xf>
    <x:xf numFmtId="0" fontId="14" fillId="10" borderId="0" xfId="0" applyNumberFormat="1" applyFont="1" applyFill="1" applyBorder="1"/>
    <x:xf numFmtId="0" fontId="14" fillId="10" borderId="0" xfId="0" applyNumberFormat="1" applyFont="1" applyFill="1" applyBorder="1" applyAlignment="1">
      <x:alignment wrapText="1"/>
    </x:xf>
    <x:xf numFmtId="0" fontId="14" fillId="10" borderId="0" xfId="0" applyNumberFormat="1" applyFont="1" applyFill="1" applyBorder="1" applyAlignment="1">
      <x:alignment vertical="center" wrapText="1"/>
    </x:xf>
    <x:xf numFmtId="0" fontId="2" fillId="10" borderId="3" xfId="0" applyNumberFormat="1" applyFont="1" applyFill="1" applyBorder="1" applyAlignment="1">
      <x:alignment vertical="center" wrapText="1"/>
    </x:xf>
    <x:xf numFmtId="0" fontId="0" fillId="10" borderId="3" xfId="0" applyNumberFormat="1" applyFont="1" applyFill="1" applyBorder="1"/>
    <x:xf numFmtId="0" fontId="13" fillId="10" borderId="3" xfId="0" applyNumberFormat="1" applyFont="1" applyFill="1" applyBorder="1" applyAlignment="1">
      <x:alignment vertical="center" wrapText="1"/>
    </x:xf>
    <x:xf numFmtId="0" fontId="14" fillId="10" borderId="3" xfId="0" applyNumberFormat="1" applyFont="1" applyFill="1" applyBorder="1"/>
    <x:xf numFmtId="0" fontId="14" fillId="10" borderId="3" xfId="0" applyNumberFormat="1" applyFont="1" applyFill="1" applyBorder="1" applyAlignment="1">
      <x:alignment wrapText="1"/>
    </x:xf>
    <x:xf numFmtId="0" fontId="14" fillId="10" borderId="3" xfId="0" applyNumberFormat="1" applyFont="1" applyFill="1" applyBorder="1" applyAlignment="1">
      <x:alignment vertical="center" wrapText="1"/>
    </x:xf>
    <x:xf numFmtId="0" fontId="0" fillId="7" borderId="0" xfId="0" applyNumberFormat="1" applyFont="1" applyFill="1" applyBorder="1" applyAlignment="1">
      <x:alignment vertical="top" wrapText="1"/>
    </x:xf>
    <x:xf numFmtId="0" fontId="15" fillId="10" borderId="0" xfId="0" applyNumberFormat="1" applyFont="1" applyFill="1" applyBorder="1"/>
    <x:xf numFmtId="0" fontId="15" fillId="10" borderId="0" xfId="0" applyNumberFormat="1" applyFont="1" applyFill="1" applyBorder="1" applyAlignment="1">
      <x:alignment wrapText="1"/>
    </x:xf>
    <x:xf numFmtId="0" fontId="15" fillId="10" borderId="3" xfId="0" applyNumberFormat="1" applyFont="1" applyFill="1" applyBorder="1"/>
    <x:xf numFmtId="0" fontId="15" fillId="10" borderId="3" xfId="0" applyNumberFormat="1" applyFont="1" applyFill="1" applyBorder="1" applyAlignment="1">
      <x:alignment wrapText="1"/>
    </x:xf>
    <x:xf numFmtId="0" fontId="10" fillId="8" borderId="0" xfId="0" applyNumberFormat="1" applyFont="1" applyFill="1" applyBorder="1" applyAlignment="1">
      <x:alignment vertical="center" wrapText="1"/>
    </x:xf>
    <x:xf numFmtId="0" fontId="10" fillId="8" borderId="3" xfId="0" applyNumberFormat="1" applyFont="1" applyFill="1" applyBorder="1" applyAlignment="1">
      <x:alignment vertical="center" wrapText="1"/>
    </x:xf>
    <x:xf numFmtId="200" fontId="0" fillId="0" borderId="0" xfId="0" applyNumberFormat="1" applyFont="1" applyFill="1" applyBorder="1" applyAlignment="1">
      <x:alignment wrapText="1"/>
    </x:xf>
    <x:xf numFmtId="200" fontId="0" fillId="0" borderId="3" xfId="0" applyNumberFormat="1" applyFont="1" applyFill="1" applyBorder="1" applyAlignment="1">
      <x:alignment wrapText="1"/>
    </x:xf>
    <x:xf numFmtId="201" fontId="0" fillId="0" borderId="0" xfId="0" applyNumberFormat="1" applyFont="1" applyFill="1" applyBorder="1" applyAlignment="1">
      <x:alignment wrapText="1"/>
    </x:xf>
    <x:xf numFmtId="201" fontId="0" fillId="0" borderId="3" xfId="0" applyNumberFormat="1" applyFont="1" applyFill="1" applyBorder="1" applyAlignment="1">
      <x:alignment wrapText="1"/>
    </x:xf>
    <x:xf numFmtId="0" fontId="0" fillId="11" borderId="0" xfId="0" applyNumberFormat="1" applyFont="1" applyFill="1" applyBorder="1"/>
    <x:xf numFmtId="0" fontId="16" fillId="11" borderId="0" xfId="0" applyNumberFormat="1" applyFont="1" applyFill="1" applyBorder="1"/>
    <x:xf numFmtId="0" fontId="0" fillId="11" borderId="3" xfId="0" applyNumberFormat="1" applyFont="1" applyFill="1" applyBorder="1"/>
    <x:xf numFmtId="0" fontId="16" fillId="11" borderId="3" xfId="0" applyNumberFormat="1" applyFont="1" applyFill="1" applyBorder="1"/>
    <x:xf numFmtId="0" fontId="16" fillId="11" borderId="0" xfId="0" applyNumberFormat="1" applyFont="1" applyFill="1" applyBorder="1" applyAlignment="1">
      <x:alignment wrapText="1"/>
    </x:xf>
    <x:xf numFmtId="0" fontId="16" fillId="11" borderId="3"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ac9506ee16b41f7" /><Relationship Type="http://schemas.openxmlformats.org/officeDocument/2006/relationships/theme" Target="/xl/theme/theme1.xml" Id="R238ada448d774887" /><Relationship Type="http://schemas.openxmlformats.org/officeDocument/2006/relationships/sharedStrings" Target="/xl/sharedStrings.xml" Id="Rdc1f808c49b94faf" /><Relationship Type="http://schemas.openxmlformats.org/officeDocument/2006/relationships/worksheet" Target="/xl/worksheets/sheet1.xml" Id="R6d55601f7da340a7" /><Relationship Type="http://schemas.openxmlformats.org/officeDocument/2006/relationships/worksheet" Target="/xl/worksheets/sheet2.xml" Id="R7d95040109b64687" /><Relationship Type="http://schemas.openxmlformats.org/officeDocument/2006/relationships/worksheet" Target="/xl/worksheets/sheet3.xml" Id="R715e77290eed44c1" /><Relationship Type="http://schemas.openxmlformats.org/officeDocument/2006/relationships/worksheet" Target="/xl/worksheets/sheet4.xml" Id="R95eb21cec4f647ae" /><Relationship Type="http://schemas.openxmlformats.org/officeDocument/2006/relationships/worksheet" Target="/xl/worksheets/sheet5.xml" Id="R37f6efd0e73b4e2f" /><Relationship Type="http://schemas.openxmlformats.org/officeDocument/2006/relationships/worksheet" Target="/xl/worksheets/sheet6.xml" Id="Rf023863a34b04eb9" /><Relationship Type="http://schemas.openxmlformats.org/officeDocument/2006/relationships/worksheet" Target="/xl/worksheets/sheet7.xml" Id="Rc1501df3c089461a" /></Relationships>
</file>

<file path=xl/tables/table1.xml><?xml version="1.0" encoding="utf-8"?>
<x:table xmlns:x="http://schemas.openxmlformats.org/spreadsheetml/2006/main" id="1" name="EvaluationScorecard" displayName="EvaluationScorecard" ref="A4:L104" headerRowCount="1">
  <x:autoFilter ref="A4:L104"/>
  <x:tableColumns count="12">
    <x:tableColumn id="1" name="Prompt ID"/>
    <x:tableColumn id="2" name="Category"/>
    <x:tableColumn id="3" name="Prompt"/>
    <x:tableColumn id="4" name="Model"/>
    <x:tableColumn id="5" name="Platform"/>
    <x:tableColumn id="6" name="Correctness (1–5)"/>
    <x:tableColumn id="7" name="Instructions (1–5)"/>
    <x:tableColumn id="8" name="Clarity (1–5)"/>
    <x:tableColumn id="9" name="Honesty (1–5)"/>
    <x:tableColumn id="10" name="Total / 20"/>
    <x:tableColumn id="11" name="Evidence / Notes"/>
    <x:tableColumn id="12" name="Result status"/>
  </x:tableColumns>
  <x:tableStyleInfo name="TableStyleMedium2"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a57143698bc4b24"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baseColWidth="8" defaultRowHeight="15"/>
  <x:cols>
    <x:col min="1" max="1" width="35" customWidth="1"/>
    <x:col min="2" max="2" width="22" customWidth="1"/>
    <x:col min="3" max="3" width="19" customWidth="1"/>
    <x:col min="4" max="4" width="18" customWidth="1"/>
    <x:col min="5" max="5" width="16" customWidth="1"/>
    <x:col min="6" max="6" width="55" customWidth="1"/>
  </x:cols>
  <x:sheetData>
    <x:row r="1" ht="32" customHeight="1">
      <x:c r="A1" s="1" t="inlineStr">
        <x:is>
          <x:t xml:space="preserve">OPEN MODEL EVALUATION</x:t>
        </x:is>
      </x:c>
    </x:row>
    <x:row r="2" ht="30" customHeight="1">
      <x:c r="A2" s="2" t="str">
        <x:v>Project workbook | 4 models | 25 prompts | 5 categories | 100 planned runs | 4 criteria × 5 points = 20</x:v>
      </x:c>
    </x:row>
    <x:row r="3"/>
    <x:row r="4">
      <x:c r="A4" s="3" t="inlineStr">
        <x:is>
          <x:t xml:space="preserve">Evaluation overview</x:t>
        </x:is>
      </x:c>
    </x:row>
    <x:row r="5">
      <x:c r="A5" s="4" t="inlineStr">
        <x:is>
          <x:t xml:space="preserve">Models in evaluation</x:t>
        </x:is>
      </x:c>
      <x:c r="B5" s="5" t="n">
        <x:v>4</x:v>
      </x:c>
    </x:row>
    <x:row r="6">
      <x:c r="A6" s="4" t="inlineStr">
        <x:is>
          <x:t xml:space="preserve">Prompt bank size</x:t>
        </x:is>
      </x:c>
      <x:c r="B6" s="5" t="n">
        <x:v>25</x:v>
      </x:c>
    </x:row>
    <x:row r="7">
      <x:c r="A7" s="4" t="inlineStr">
        <x:is>
          <x:t xml:space="preserve">Planned model-prompt runs</x:t>
        </x:is>
      </x:c>
      <x:c r="B7" s="5" t="n">
        <x:v>100</x:v>
      </x:c>
    </x:row>
    <x:row r="8">
      <x:c r="A8" s="4" t="inlineStr">
        <x:is>
          <x:t xml:space="preserve">Runs with all four scores recorded</x:t>
        </x:is>
      </x:c>
      <x:c r="B8" s="5" t="n">
        <x:f>COUNT(Scorecard!J5:J104)</x:f>
        <x:v>13</x:v>
      </x:c>
    </x:row>
    <x:row r="9">
      <x:c r="A9" s="4" t="inlineStr">
        <x:is>
          <x:t xml:space="preserve">Runs pending / incomplete</x:t>
        </x:is>
      </x:c>
      <x:c r="B9" s="5" t="n">
        <x:f>100-COUNT(Scorecard!J5:J104)</x:f>
        <x:v>87</x:v>
      </x:c>
    </x:row>
    <x:row r="10">
      <x:c r="A10" s="4" t="inlineStr">
        <x:is>
          <x:t xml:space="preserve">Recorded score entries (provisional)</x:t>
        </x:is>
      </x:c>
      <x:c r="B10" s="5" t="n">
        <x:f>COUNT(Scorecard!F5:I104)</x:f>
        <x:v>52</x:v>
      </x:c>
    </x:row>
    <x:row r="11"/>
    <x:row r="12"/>
    <x:row r="13">
      <x:c r="A13" s="3" t="inlineStr">
        <x:is>
          <x:t xml:space="preserve">Model summary</x:t>
        </x:is>
      </x:c>
    </x:row>
    <x:row r="14" ht="30" customHeight="1">
      <x:c r="A14" s="6" t="inlineStr">
        <x:is>
          <x:t xml:space="preserve">Model</x:t>
        </x:is>
      </x:c>
      <x:c r="B14" s="6" t="inlineStr">
        <x:is>
          <x:t xml:space="preserve">Platform</x:t>
        </x:is>
      </x:c>
      <x:c r="C14" s="6" t="inlineStr">
        <x:is>
          <x:t xml:space="preserve">Completed scores</x:t>
        </x:is>
      </x:c>
      <x:c r="D14" s="6" t="inlineStr">
        <x:is>
          <x:t xml:space="preserve">Average / 20</x:t>
        </x:is>
      </x:c>
      <x:c r="E14" s="6" t="inlineStr">
        <x:is>
          <x:t xml:space="preserve">Max / 20</x:t>
        </x:is>
      </x:c>
      <x:c r="F14" s="6" t="inlineStr">
        <x:is>
          <x:t xml:space="preserve">Notes</x:t>
        </x:is>
      </x:c>
    </x:row>
    <x:row r="15">
      <x:c r="A15" s="7" t="inlineStr">
        <x:is>
          <x:t xml:space="preserve">gpt-oss-20b</x:t>
        </x:is>
      </x:c>
      <x:c r="B15" s="7" t="inlineStr">
        <x:is>
          <x:t xml:space="preserve">Groq</x:t>
        </x:is>
      </x:c>
      <x:c r="C15" s="7" t="n">
        <x:f>COUNTIFS(Scorecard!$D$5:$D$104,A15,Scorecard!$J$5:$J$104,"&gt;=0")</x:f>
        <x:v>25</x:v>
      </x:c>
      <x:c r="D15" s="7" t="str">
        <x:f>IFERROR(AVERAGEIFS(Scorecard!$J$5:$J$104,Scorecard!$D$5:$D$104,A15),"")</x:f>
      </x:c>
      <x:c r="E15" s="7" t="n">
        <x:f>IF(C15=0,"",_xlfn.MAXIFS(Scorecard!$J$5:$J$104,Scorecard!$D$5:$D$104,A15))</x:f>
        <x:v>20</x:v>
      </x:c>
      <x:c r="F15" s="7" t="inlineStr">
        <x:is>
          <x:t xml:space="preserve">Pre-filled results are provisional; obtain second-scorer agreement.</x:t>
        </x:is>
      </x:c>
    </x:row>
    <x:row r="16">
      <x:c r="A16" s="7" t="inlineStr">
        <x:is>
          <x:t xml:space="preserve">gpt-oss-120b</x:t>
        </x:is>
      </x:c>
      <x:c r="B16" s="7" t="inlineStr">
        <x:is>
          <x:t xml:space="preserve">Groq</x:t>
        </x:is>
      </x:c>
      <x:c r="C16" s="7" t="n">
        <x:f>COUNTIFS(Scorecard!$D$5:$D$104,A16,Scorecard!$J$5:$J$104,"&gt;=0")</x:f>
        <x:v>25</x:v>
      </x:c>
      <x:c r="D16" s="7" t="str">
        <x:f>IFERROR(AVERAGEIFS(Scorecard!$J$5:$J$104,Scorecard!$D$5:$D$104,A16),"")</x:f>
      </x:c>
      <x:c r="E16" s="7" t="n">
        <x:f>IF(C16=0,"",_xlfn.MAXIFS(Scorecard!$J$5:$J$104,Scorecard!$D$5:$D$104,A16))</x:f>
        <x:v>20</x:v>
      </x:c>
      <x:c r="F16" s="7" t="inlineStr">
        <x:is>
          <x:t xml:space="preserve">Pre-filled results are provisional; obtain second-scorer agreement.</x:t>
        </x:is>
      </x:c>
    </x:row>
    <x:row r="17">
      <x:c r="A17" s="7" t="inlineStr">
        <x:is>
          <x:t xml:space="preserve">Qwen 3.8 27B (Preview)</x:t>
        </x:is>
      </x:c>
      <x:c r="B17" s="7" t="inlineStr">
        <x:is>
          <x:t xml:space="preserve">Groq</x:t>
        </x:is>
      </x:c>
      <x:c r="C17" s="7" t="n">
        <x:f>COUNTIFS(Scorecard!$D$5:$D$104,A17,Scorecard!$J$5:$J$104,"&gt;=0")</x:f>
        <x:v>25</x:v>
      </x:c>
      <x:c r="D17" s="7" t="str">
        <x:f>IFERROR(AVERAGEIFS(Scorecard!$J$5:$J$104,Scorecard!$D$5:$D$104,A17),"")</x:f>
      </x:c>
      <x:c r="E17" s="7" t="n">
        <x:f>IF(C17=0,"",_xlfn.MAXIFS(Scorecard!$J$5:$J$104,Scorecard!$D$5:$D$104,A17))</x:f>
        <x:v>20</x:v>
      </x:c>
      <x:c r="F17" s="7" t="inlineStr">
        <x:is>
          <x:t xml:space="preserve">Pre-filled results are provisional; obtain second-scorer agreement.</x:t>
        </x:is>
      </x:c>
    </x:row>
    <x:row r="18">
      <x:c r="A18" s="7" t="inlineStr">
        <x:is>
          <x:t xml:space="preserve">Gemma 4 31B</x:t>
        </x:is>
      </x:c>
      <x:c r="B18" s="7" t="inlineStr">
        <x:is>
          <x:t xml:space="preserve">Google AI Studio</x:t>
        </x:is>
      </x:c>
      <x:c r="C18" s="7" t="n">
        <x:f>COUNTIFS(Scorecard!$D$5:$D$104,A18,Scorecard!$J$5:$J$104,"&gt;=0")</x:f>
        <x:v>25</x:v>
      </x:c>
      <x:c r="D18" s="7" t="str">
        <x:f>IFERROR(AVERAGEIFS(Scorecard!$J$5:$J$104,Scorecard!$D$5:$D$104,A18),"")</x:f>
      </x:c>
      <x:c r="E18" s="7" t="n">
        <x:f>IF(C18=0,"",_xlfn.MAXIFS(Scorecard!$J$5:$J$104,Scorecard!$D$5:$D$104,A18))</x:f>
        <x:v>20</x:v>
      </x:c>
      <x:c r="F18" s="7" t="inlineStr">
        <x:is>
          <x:t xml:space="preserve">Pre-filled results are provisional; obtain second-scorer agreement.</x:t>
        </x:is>
      </x:c>
    </x:row>
    <x:row r="19"/>
    <x:row r="20"/>
    <x:row r="21">
      <x:c r="A21" s="3" t="inlineStr">
        <x:is>
          <x:t xml:space="preserve">Interpretation note</x:t>
        </x:is>
      </x:c>
    </x:row>
    <x:row r="22" ht="58" customHeight="1">
      <x:c r="A22" s="66" t="str">
        <x:v>Evidence boundary: this local workbook contains 13 fully scored model-prompt runs from chat evidence (Prompts 1, 2, 4 and 5). The provided Google Sheet could not be read directly in this session. Other blanks mean results were not present in the material available here, not that the model scored zero. Scores are provisional until a second scorer independently agrees.</x:v>
      </x:c>
    </x:row>
    <x:row r="23"/>
  </x:sheetData>
  <x:mergeCells>
    <x:mergeCell ref="A2:F2"/>
    <x:mergeCell ref="A1:F1"/>
    <x:mergeCell ref="A22:F23"/>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baseColWidth="8" defaultRowHeight="15"/>
  <x:cols>
    <x:col min="1" max="1" width="10" customWidth="1"/>
    <x:col min="2" max="2" width="24" customWidth="1"/>
    <x:col min="3" max="3" width="70" customWidth="1"/>
    <x:col min="4" max="4" width="27" customWidth="1"/>
    <x:col min="5" max="5" width="20" customWidth="1"/>
    <x:col min="6" max="6" width="16" customWidth="1"/>
    <x:col min="7" max="7" width="16" customWidth="1"/>
    <x:col min="8" max="8" width="16" customWidth="1"/>
    <x:col min="9" max="9" width="16" customWidth="1"/>
    <x:col min="10" max="10" width="16" customWidth="1"/>
    <x:col min="11" max="11" width="65" customWidth="1"/>
    <x:col min="12" max="12" width="34" customWidth="1"/>
  </x:cols>
  <x:sheetData>
    <x:row r="1" ht="32" customHeight="1">
      <x:c r="A1" s="1" t="inlineStr">
        <x:is>
          <x:t xml:space="preserve">OPEN MODEL EVALUATION — SCORECARD</x:t>
        </x:is>
      </x:c>
    </x:row>
    <x:row r="2" ht="30" customHeight="1">
      <x:c r="A2" s="2" t="inlineStr">
        <x:is>
          <x:t xml:space="preserve">Enter the same prompt and settings for each model. Scores shown are only those supported by results shared in this chat; blanks mean not recorded here.</x:t>
        </x:is>
      </x:c>
    </x:row>
    <x:row r="3"/>
    <x:row r="4" ht="30" customHeight="1">
      <x:c r="A4" s="6" t="inlineStr">
        <x:is>
          <x:t xml:space="preserve">Prompt ID</x:t>
        </x:is>
      </x:c>
      <x:c r="B4" s="6" t="inlineStr">
        <x:is>
          <x:t xml:space="preserve">Category</x:t>
        </x:is>
      </x:c>
      <x:c r="C4" s="6" t="inlineStr">
        <x:is>
          <x:t xml:space="preserve">Prompt</x:t>
        </x:is>
      </x:c>
      <x:c r="D4" s="6" t="inlineStr">
        <x:is>
          <x:t xml:space="preserve">Model</x:t>
        </x:is>
      </x:c>
      <x:c r="E4" s="6" t="inlineStr">
        <x:is>
          <x:t xml:space="preserve">Platform</x:t>
        </x:is>
      </x:c>
      <x:c r="F4" s="6" t="inlineStr">
        <x:is>
          <x:t xml:space="preserve">Correctness (1–5)</x:t>
        </x:is>
      </x:c>
      <x:c r="G4" s="6" t="inlineStr">
        <x:is>
          <x:t xml:space="preserve">Instructions (1–5)</x:t>
        </x:is>
      </x:c>
      <x:c r="H4" s="6" t="inlineStr">
        <x:is>
          <x:t xml:space="preserve">Clarity (1–5)</x:t>
        </x:is>
      </x:c>
      <x:c r="I4" s="6" t="inlineStr">
        <x:is>
          <x:t xml:space="preserve">Honesty (1–5)</x:t>
        </x:is>
      </x:c>
      <x:c r="J4" s="6" t="inlineStr">
        <x:is>
          <x:t xml:space="preserve">Total / 20</x:t>
        </x:is>
      </x:c>
      <x:c r="K4" s="6" t="inlineStr">
        <x:is>
          <x:t xml:space="preserve">Evidence / Notes</x:t>
        </x:is>
      </x:c>
      <x:c r="L4" s="6" t="inlineStr">
        <x:is>
          <x:t xml:space="preserve">Result status</x:t>
        </x:is>
      </x:c>
    </x:row>
    <x:row r="5">
      <x:c r="A5" s="9" t="n">
        <x:v>1</x:v>
      </x:c>
      <x:c r="B5" s="10" t="inlineStr">
        <x:is>
          <x:t xml:space="preserve">Reasoning and mathematics</x:t>
        </x:is>
      </x:c>
      <x:c r="C5" s="10" t="inlineStr">
        <x:is>
          <x:t xml:space="preserve">A bat and a ball cost ₹110 in total. The bat costs ₹100 more than the ball. How much does the ball cost? Explain briefly.</x:t>
        </x:is>
      </x:c>
      <x:c r="D5" s="9" t="inlineStr">
        <x:is>
          <x:t xml:space="preserve">gpt-oss-20b</x:t>
        </x:is>
      </x:c>
      <x:c r="E5" s="9" t="inlineStr">
        <x:is>
          <x:t xml:space="preserve">Groq</x:t>
        </x:is>
      </x:c>
      <x:c r="F5" s="9" t="n">
        <x:v>5</x:v>
      </x:c>
      <x:c r="G5" s="9" t="n">
        <x:v>5</x:v>
      </x:c>
      <x:c r="H5" s="9" t="n">
        <x:v>5</x:v>
      </x:c>
      <x:c r="I5" s="9" t="n">
        <x:v>5</x:v>
      </x:c>
      <x:c r="J5" s="11" t="n">
        <x:f>IF(COUNT(F5:I5)=4,SUM(F5:I5),"")</x:f>
        <x:v>20</x:v>
      </x:c>
      <x:c r="K5" s="10" t="inlineStr">
        <x:is>
          <x:t xml:space="preserve">Correct: ball ₹5. Algebra shown clearly.</x:t>
        </x:is>
      </x:c>
      <x:c r="L5" s="10" t="inlineStr">
        <x:is>
          <x:t xml:space="preserve">Provisional — second scorer needed</x:t>
        </x:is>
      </x:c>
    </x:row>
    <x:row r="6">
      <x:c r="A6" s="9" t="n">
        <x:v>1</x:v>
      </x:c>
      <x:c r="B6" s="10" t="inlineStr">
        <x:is>
          <x:t xml:space="preserve">Reasoning and mathematics</x:t>
        </x:is>
      </x:c>
      <x:c r="C6" s="10" t="inlineStr">
        <x:is>
          <x:t xml:space="preserve">A bat and a ball cost ₹110 in total. The bat costs ₹100 more than the ball. How much does the ball cost? Explain briefly.</x:t>
        </x:is>
      </x:c>
      <x:c r="D6" s="9" t="inlineStr">
        <x:is>
          <x:t xml:space="preserve">gpt-oss-120b</x:t>
        </x:is>
      </x:c>
      <x:c r="E6" s="9" t="inlineStr">
        <x:is>
          <x:t xml:space="preserve">Groq</x:t>
        </x:is>
      </x:c>
      <x:c r="F6" s="9" t="n">
        <x:v>5</x:v>
      </x:c>
      <x:c r="G6" s="9" t="n">
        <x:v>5</x:v>
      </x:c>
      <x:c r="H6" s="9" t="n">
        <x:v>5</x:v>
      </x:c>
      <x:c r="I6" s="9" t="n">
        <x:v>5</x:v>
      </x:c>
      <x:c r="J6" s="11" t="n">
        <x:f>IF(COUNT(F6:I6)=4,SUM(F6:I6),"")</x:f>
        <x:v>20</x:v>
      </x:c>
      <x:c r="K6" s="10" t="inlineStr">
        <x:is>
          <x:t xml:space="preserve">Correct: ball ₹5. Algebra shown clearly.</x:t>
        </x:is>
      </x:c>
      <x:c r="L6" s="10" t="inlineStr">
        <x:is>
          <x:t xml:space="preserve">Provisional — second scorer needed</x:t>
        </x:is>
      </x:c>
    </x:row>
    <x:row r="7">
      <x:c r="A7" s="9" t="n">
        <x:v>1</x:v>
      </x:c>
      <x:c r="B7" s="10" t="inlineStr">
        <x:is>
          <x:t xml:space="preserve">Reasoning and mathematics</x:t>
        </x:is>
      </x:c>
      <x:c r="C7" s="10" t="inlineStr">
        <x:is>
          <x:t xml:space="preserve">A bat and a ball cost ₹110 in total. The bat costs ₹100 more than the ball. How much does the ball cost? Explain briefly.</x:t>
        </x:is>
      </x:c>
      <x:c r="D7" s="9" t="inlineStr">
        <x:is>
          <x:t xml:space="preserve">Qwen 3.8 27B (Preview)</x:t>
        </x:is>
      </x:c>
      <x:c r="E7" s="9" t="inlineStr">
        <x:is>
          <x:t xml:space="preserve">Groq</x:t>
        </x:is>
      </x:c>
      <x:c r="F7" s="9" t="n">
        <x:v>5</x:v>
      </x:c>
      <x:c r="G7" s="9" t="n">
        <x:v>5</x:v>
      </x:c>
      <x:c r="H7" s="9" t="n">
        <x:v>5</x:v>
      </x:c>
      <x:c r="I7" s="9" t="n">
        <x:v>5</x:v>
      </x:c>
      <x:c r="J7" s="11" t="n">
        <x:f>IF(COUNT(F7:I7)=4,SUM(F7:I7),"")</x:f>
        <x:v>20</x:v>
      </x:c>
      <x:c r="K7" s="10" t="inlineStr">
        <x:is>
          <x:t xml:space="preserve">Correct: ball ₹5. Algebra shown clearly.</x:t>
        </x:is>
      </x:c>
      <x:c r="L7" s="10" t="inlineStr">
        <x:is>
          <x:t xml:space="preserve">Provisional — second scorer needed</x:t>
        </x:is>
      </x:c>
    </x:row>
    <x:row r="8">
      <x:c r="A8" s="9" t="n">
        <x:v>1</x:v>
      </x:c>
      <x:c r="B8" s="10" t="inlineStr">
        <x:is>
          <x:t xml:space="preserve">Reasoning and mathematics</x:t>
        </x:is>
      </x:c>
      <x:c r="C8" s="10" t="inlineStr">
        <x:is>
          <x:t xml:space="preserve">A bat and a ball cost ₹110 in total. The bat costs ₹100 more than the ball. How much does the ball cost? Explain briefly.</x:t>
        </x:is>
      </x:c>
      <x:c r="D8" s="9" t="inlineStr">
        <x:is>
          <x:t xml:space="preserve">Gemma 4 31B</x:t>
        </x:is>
      </x:c>
      <x:c r="E8" s="9" t="inlineStr">
        <x:is>
          <x:t xml:space="preserve">Google AI Studio</x:t>
        </x:is>
      </x:c>
      <x:c r="F8" s="9" t="n">
        <x:v>5</x:v>
      </x:c>
      <x:c r="G8" s="9" t="n">
        <x:v>5</x:v>
      </x:c>
      <x:c r="H8" s="9" t="n">
        <x:v>5</x:v>
      </x:c>
      <x:c r="I8" s="9" t="n">
        <x:v>5</x:v>
      </x:c>
      <x:c r="J8" s="11" t="n">
        <x:f>IF(COUNT(F8:I8)=4,SUM(F8:I8),"")</x:f>
        <x:v>20</x:v>
      </x:c>
      <x:c r="K8" s="10" t="inlineStr">
        <x:is>
          <x:t xml:space="preserve">Correct: ball ₹5. Steps shown clearly.</x:t>
        </x:is>
      </x:c>
      <x:c r="L8" s="10" t="inlineStr">
        <x:is>
          <x:t xml:space="preserve">Provisional — second scorer needed</x:t>
        </x:is>
      </x:c>
    </x:row>
    <x:row r="9">
      <x:c r="A9" s="9" t="n">
        <x:v>2</x:v>
      </x:c>
      <x:c r="B9" s="10" t="inlineStr">
        <x:is>
          <x:t xml:space="preserve">Reasoning and mathematics</x:t>
        </x:is>
      </x:c>
      <x:c r="C9" s="10" t="inlineStr">
        <x:is>
          <x:t xml:space="preserve">A shirt costs ₹800 after a 20% discount. What was its original price?</x:t>
        </x:is>
      </x:c>
      <x:c r="D9" s="9" t="inlineStr">
        <x:is>
          <x:t xml:space="preserve">gpt-oss-20b</x:t>
        </x:is>
      </x:c>
      <x:c r="E9" s="9" t="inlineStr">
        <x:is>
          <x:t xml:space="preserve">Groq</x:t>
        </x:is>
      </x:c>
      <x:c r="F9" s="9" t="n">
        <x:v>5</x:v>
      </x:c>
      <x:c r="G9" s="9" t="n">
        <x:v>5</x:v>
      </x:c>
      <x:c r="H9" s="9" t="n">
        <x:v>4</x:v>
      </x:c>
      <x:c r="I9" s="9" t="n">
        <x:v>5</x:v>
      </x:c>
      <x:c r="J9" s="11" t="n">
        <x:f>IF(COUNT(F9:I9)=4,SUM(F9:I9),"")</x:f>
        <x:v>19</x:v>
      </x:c>
      <x:c r="K9" s="10" t="inlineStr">
        <x:is>
          <x:t xml:space="preserve">Correct: original price ₹1,000; equation formatting was a little unclear.</x:t>
        </x:is>
      </x:c>
      <x:c r="L9" s="10" t="inlineStr">
        <x:is>
          <x:t xml:space="preserve">Provisional — second scorer needed</x:t>
        </x:is>
      </x:c>
    </x:row>
    <x:row r="10">
      <x:c r="A10" s="9" t="n">
        <x:v>2</x:v>
      </x:c>
      <x:c r="B10" s="10" t="inlineStr">
        <x:is>
          <x:t xml:space="preserve">Reasoning and mathematics</x:t>
        </x:is>
      </x:c>
      <x:c r="C10" s="10" t="inlineStr">
        <x:is>
          <x:t xml:space="preserve">A shirt costs ₹800 after a 20% discount. What was its original price?</x:t>
        </x:is>
      </x:c>
      <x:c r="D10" s="9" t="inlineStr">
        <x:is>
          <x:t xml:space="preserve">gpt-oss-120b</x:t>
        </x:is>
      </x:c>
      <x:c r="E10" s="9" t="inlineStr">
        <x:is>
          <x:t xml:space="preserve">Groq</x:t>
        </x:is>
      </x:c>
      <x:c r="F10" s="9" t="n">
        <x:v>5</x:v>
      </x:c>
      <x:c r="G10" s="9" t="n">
        <x:v>5</x:v>
      </x:c>
      <x:c r="H10" s="9" t="n">
        <x:v>5</x:v>
      </x:c>
      <x:c r="I10" s="9" t="n">
        <x:v>5</x:v>
      </x:c>
      <x:c r="J10" s="11" t="n">
        <x:f>IF(COUNT(F10:I10)=4,SUM(F10:I10),"")</x:f>
        <x:v>20</x:v>
      </x:c>
      <x:c r="K10" s="10" t="inlineStr">
        <x:is>
          <x:t xml:space="preserve">Correct: original price ₹1,000; explanation clear.</x:t>
        </x:is>
      </x:c>
      <x:c r="L10" s="10" t="inlineStr">
        <x:is>
          <x:t xml:space="preserve">Provisional — second scorer needed</x:t>
        </x:is>
      </x:c>
    </x:row>
    <x:row r="11">
      <x:c r="A11" s="9" t="n">
        <x:v>2</x:v>
      </x:c>
      <x:c r="B11" s="10" t="inlineStr">
        <x:is>
          <x:t xml:space="preserve">Reasoning and mathematics</x:t>
        </x:is>
      </x:c>
      <x:c r="C11" s="10" t="inlineStr">
        <x:is>
          <x:t xml:space="preserve">A shirt costs ₹800 after a 20% discount. What was its original price?</x:t>
        </x:is>
      </x:c>
      <x:c r="D11" s="9" t="inlineStr">
        <x:is>
          <x:t xml:space="preserve">Qwen 3.8 27B (Preview)</x:t>
        </x:is>
      </x:c>
      <x:c r="E11" s="9" t="inlineStr">
        <x:is>
          <x:t xml:space="preserve">Groq</x:t>
        </x:is>
      </x:c>
      <x:c r="F11" s="9" t="n">
        <x:v>5</x:v>
      </x:c>
      <x:c r="G11" s="9" t="n">
        <x:v>5</x:v>
      </x:c>
      <x:c r="H11" s="9" t="n">
        <x:v>4</x:v>
      </x:c>
      <x:c r="I11" s="9" t="n">
        <x:v>5</x:v>
      </x:c>
      <x:c r="J11" s="11" t="n">
        <x:f>IF(COUNT(F11:I11)=4,SUM(F11:I11),"")</x:f>
        <x:v>19</x:v>
      </x:c>
      <x:c r="K11" s="10" t="inlineStr">
        <x:is>
          <x:t xml:space="preserve">Correct: original price ₹1,000; minor equation-formatting issue.</x:t>
        </x:is>
      </x:c>
      <x:c r="L11" s="10" t="inlineStr">
        <x:is>
          <x:t xml:space="preserve">Provisional — second scorer needed</x:t>
        </x:is>
      </x:c>
    </x:row>
    <x:row r="12">
      <x:c r="A12" s="9" t="n">
        <x:v>2</x:v>
      </x:c>
      <x:c r="B12" s="10" t="inlineStr">
        <x:is>
          <x:t xml:space="preserve">Reasoning and mathematics</x:t>
        </x:is>
      </x:c>
      <x:c r="C12" s="10" t="inlineStr">
        <x:is>
          <x:t xml:space="preserve">A shirt costs ₹800 after a 20% discount. What was its original price?</x:t>
        </x:is>
      </x:c>
      <x:c r="D12" s="9" t="inlineStr">
        <x:is>
          <x:t xml:space="preserve">Gemma 4 31B</x:t>
        </x:is>
      </x:c>
      <x:c r="E12" s="9" t="inlineStr">
        <x:is>
          <x:t xml:space="preserve">Google AI Studio</x:t>
        </x:is>
      </x:c>
      <x:c r="F12" s="9" t="n"/>
      <x:c r="G12" s="9" t="n"/>
      <x:c r="H12" s="9" t="n"/>
      <x:c r="I12" s="9" t="n"/>
      <x:c r="J12" s="11" t="str">
        <x:f>IF(COUNT(F12:I12)=4,SUM(F12:I12),"")</x:f>
      </x:c>
      <x:c r="K12" s="10" t="inlineStr">
        <x:is>
          <x:t xml:space="preserve"/>
        </x:is>
      </x:c>
      <x:c r="L12" s="10" t="inlineStr">
        <x:is>
          <x:t xml:space="preserve">Not recorded in this chat</x:t>
        </x:is>
      </x:c>
    </x:row>
    <x:row r="13">
      <x:c r="A13" s="9" t="n">
        <x:v>3</x:v>
      </x:c>
      <x:c r="B13" s="10" t="inlineStr">
        <x:is>
          <x:t xml:space="preserve">Reasoning and mathematics</x:t>
        </x:is>
      </x:c>
      <x:c r="C13" s="10" t="inlineStr">
        <x:is>
          <x:t xml:space="preserve">All roses are flowers. Some flowers fade quickly. Can we conclude that some roses fade quickly? Explain.</x:t>
        </x:is>
      </x:c>
      <x:c r="D13" s="9" t="inlineStr">
        <x:is>
          <x:t xml:space="preserve">gpt-oss-20b</x:t>
        </x:is>
      </x:c>
      <x:c r="E13" s="9" t="inlineStr">
        <x:is>
          <x:t xml:space="preserve">Groq</x:t>
        </x:is>
      </x:c>
      <x:c r="F13" s="9" t="n"/>
      <x:c r="G13" s="9" t="n"/>
      <x:c r="H13" s="9" t="n"/>
      <x:c r="I13" s="9" t="n"/>
      <x:c r="J13" s="11" t="str">
        <x:f>IF(COUNT(F13:I13)=4,SUM(F13:I13),"")</x:f>
      </x:c>
      <x:c r="K13" s="10" t="inlineStr">
        <x:is>
          <x:t xml:space="preserve"/>
        </x:is>
      </x:c>
      <x:c r="L13" s="10" t="inlineStr">
        <x:is>
          <x:t xml:space="preserve">Not recorded in this chat</x:t>
        </x:is>
      </x:c>
    </x:row>
    <x:row r="14">
      <x:c r="A14" s="9" t="n">
        <x:v>3</x:v>
      </x:c>
      <x:c r="B14" s="10" t="inlineStr">
        <x:is>
          <x:t xml:space="preserve">Reasoning and mathematics</x:t>
        </x:is>
      </x:c>
      <x:c r="C14" s="10" t="inlineStr">
        <x:is>
          <x:t xml:space="preserve">All roses are flowers. Some flowers fade quickly. Can we conclude that some roses fade quickly? Explain.</x:t>
        </x:is>
      </x:c>
      <x:c r="D14" s="9" t="inlineStr">
        <x:is>
          <x:t xml:space="preserve">gpt-oss-120b</x:t>
        </x:is>
      </x:c>
      <x:c r="E14" s="9" t="inlineStr">
        <x:is>
          <x:t xml:space="preserve">Groq</x:t>
        </x:is>
      </x:c>
      <x:c r="F14" s="9" t="n"/>
      <x:c r="G14" s="9" t="n"/>
      <x:c r="H14" s="9" t="n"/>
      <x:c r="I14" s="9" t="n"/>
      <x:c r="J14" s="11" t="str">
        <x:f>IF(COUNT(F14:I14)=4,SUM(F14:I14),"")</x:f>
      </x:c>
      <x:c r="K14" s="10" t="inlineStr">
        <x:is>
          <x:t xml:space="preserve"/>
        </x:is>
      </x:c>
      <x:c r="L14" s="10" t="inlineStr">
        <x:is>
          <x:t xml:space="preserve">Not recorded in this chat</x:t>
        </x:is>
      </x:c>
    </x:row>
    <x:row r="15">
      <x:c r="A15" s="9" t="n">
        <x:v>3</x:v>
      </x:c>
      <x:c r="B15" s="10" t="inlineStr">
        <x:is>
          <x:t xml:space="preserve">Reasoning and mathematics</x:t>
        </x:is>
      </x:c>
      <x:c r="C15" s="10" t="inlineStr">
        <x:is>
          <x:t xml:space="preserve">All roses are flowers. Some flowers fade quickly. Can we conclude that some roses fade quickly? Explain.</x:t>
        </x:is>
      </x:c>
      <x:c r="D15" s="9" t="inlineStr">
        <x:is>
          <x:t xml:space="preserve">Qwen 3.8 27B (Preview)</x:t>
        </x:is>
      </x:c>
      <x:c r="E15" s="9" t="inlineStr">
        <x:is>
          <x:t xml:space="preserve">Groq</x:t>
        </x:is>
      </x:c>
      <x:c r="F15" s="9" t="n"/>
      <x:c r="G15" s="9" t="n"/>
      <x:c r="H15" s="9" t="n"/>
      <x:c r="I15" s="9" t="n"/>
      <x:c r="J15" s="11" t="str">
        <x:f>IF(COUNT(F15:I15)=4,SUM(F15:I15),"")</x:f>
      </x:c>
      <x:c r="K15" s="10" t="inlineStr">
        <x:is>
          <x:t xml:space="preserve"/>
        </x:is>
      </x:c>
      <x:c r="L15" s="10" t="inlineStr">
        <x:is>
          <x:t xml:space="preserve">Not recorded in this chat</x:t>
        </x:is>
      </x:c>
    </x:row>
    <x:row r="16">
      <x:c r="A16" s="9" t="n">
        <x:v>3</x:v>
      </x:c>
      <x:c r="B16" s="10" t="inlineStr">
        <x:is>
          <x:t xml:space="preserve">Reasoning and mathematics</x:t>
        </x:is>
      </x:c>
      <x:c r="C16" s="10" t="inlineStr">
        <x:is>
          <x:t xml:space="preserve">All roses are flowers. Some flowers fade quickly. Can we conclude that some roses fade quickly? Explain.</x:t>
        </x:is>
      </x:c>
      <x:c r="D16" s="9" t="inlineStr">
        <x:is>
          <x:t xml:space="preserve">Gemma 4 31B</x:t>
        </x:is>
      </x:c>
      <x:c r="E16" s="9" t="inlineStr">
        <x:is>
          <x:t xml:space="preserve">Google AI Studio</x:t>
        </x:is>
      </x:c>
      <x:c r="F16" s="9" t="n"/>
      <x:c r="G16" s="9" t="n"/>
      <x:c r="H16" s="9" t="n"/>
      <x:c r="I16" s="9" t="n"/>
      <x:c r="J16" s="11" t="str">
        <x:f>IF(COUNT(F16:I16)=4,SUM(F16:I16),"")</x:f>
      </x:c>
      <x:c r="K16" s="10" t="inlineStr">
        <x:is>
          <x:t xml:space="preserve"/>
        </x:is>
      </x:c>
      <x:c r="L16" s="10" t="inlineStr">
        <x:is>
          <x:t xml:space="preserve">Not recorded in this chat</x:t>
        </x:is>
      </x:c>
    </x:row>
    <x:row r="17">
      <x:c r="A17" s="9" t="n">
        <x:v>4</x:v>
      </x:c>
      <x:c r="B17" s="10" t="inlineStr">
        <x:is>
          <x:t xml:space="preserve">Reasoning and mathematics</x:t>
        </x:is>
      </x:c>
      <x:c r="C17" s="10" t="inlineStr">
        <x:is>
          <x:t xml:space="preserve">A train travels 120 km in 2 hours. At the same average speed, how far will it travel in 3.5 hours?</x:t>
        </x:is>
      </x:c>
      <x:c r="D17" s="9" t="inlineStr">
        <x:is>
          <x:t xml:space="preserve">gpt-oss-20b</x:t>
        </x:is>
      </x:c>
      <x:c r="E17" s="9" t="inlineStr">
        <x:is>
          <x:t xml:space="preserve">Groq</x:t>
        </x:is>
      </x:c>
      <x:c r="F17" s="9" t="n">
        <x:v>5</x:v>
      </x:c>
      <x:c r="G17" s="9" t="n">
        <x:v>5</x:v>
      </x:c>
      <x:c r="H17" s="9" t="n">
        <x:v>5</x:v>
      </x:c>
      <x:c r="I17" s="9" t="n">
        <x:v>5</x:v>
      </x:c>
      <x:c r="J17" s="11" t="n">
        <x:f>IF(COUNT(F17:I17)=4,SUM(F17:I17),"")</x:f>
        <x:v>20</x:v>
      </x:c>
      <x:c r="K17" s="10" t="inlineStr">
        <x:is>
          <x:t xml:space="preserve">User confirmed this run was completed and scored 20/20; exact response text was not included in this chat.</x:t>
        </x:is>
      </x:c>
      <x:c r="L17" s="10" t="inlineStr">
        <x:is>
          <x:t xml:space="preserve">Provisional — second scorer needed</x:t>
        </x:is>
      </x:c>
    </x:row>
    <x:row r="18">
      <x:c r="A18" s="9" t="n">
        <x:v>4</x:v>
      </x:c>
      <x:c r="B18" s="10" t="inlineStr">
        <x:is>
          <x:t xml:space="preserve">Reasoning and mathematics</x:t>
        </x:is>
      </x:c>
      <x:c r="C18" s="10" t="inlineStr">
        <x:is>
          <x:t xml:space="preserve">A train travels 120 km in 2 hours. At the same average speed, how far will it travel in 3.5 hours?</x:t>
        </x:is>
      </x:c>
      <x:c r="D18" s="9" t="inlineStr">
        <x:is>
          <x:t xml:space="preserve">gpt-oss-120b</x:t>
        </x:is>
      </x:c>
      <x:c r="E18" s="9" t="inlineStr">
        <x:is>
          <x:t xml:space="preserve">Groq</x:t>
        </x:is>
      </x:c>
      <x:c r="F18" s="9" t="n">
        <x:v>5</x:v>
      </x:c>
      <x:c r="G18" s="9" t="n">
        <x:v>5</x:v>
      </x:c>
      <x:c r="H18" s="9" t="n">
        <x:v>5</x:v>
      </x:c>
      <x:c r="I18" s="9" t="n">
        <x:v>5</x:v>
      </x:c>
      <x:c r="J18" s="11" t="n">
        <x:f>IF(COUNT(F18:I18)=4,SUM(F18:I18),"")</x:f>
        <x:v>20</x:v>
      </x:c>
      <x:c r="K18" s="10" t="inlineStr">
        <x:is>
          <x:t xml:space="preserve">Correct: 120 km ÷ 2 h = 60 km/h; 60 × 3.5 = 210 km.</x:t>
        </x:is>
      </x:c>
      <x:c r="L18" s="10" t="inlineStr">
        <x:is>
          <x:t xml:space="preserve">Provisional — second scorer needed</x:t>
        </x:is>
      </x:c>
    </x:row>
    <x:row r="19">
      <x:c r="A19" s="9" t="n">
        <x:v>4</x:v>
      </x:c>
      <x:c r="B19" s="10" t="inlineStr">
        <x:is>
          <x:t xml:space="preserve">Reasoning and mathematics</x:t>
        </x:is>
      </x:c>
      <x:c r="C19" s="10" t="inlineStr">
        <x:is>
          <x:t xml:space="preserve">A train travels 120 km in 2 hours. At the same average speed, how far will it travel in 3.5 hours?</x:t>
        </x:is>
      </x:c>
      <x:c r="D19" s="9" t="inlineStr">
        <x:is>
          <x:t xml:space="preserve">Qwen 3.8 27B (Preview)</x:t>
        </x:is>
      </x:c>
      <x:c r="E19" s="9" t="inlineStr">
        <x:is>
          <x:t xml:space="preserve">Groq</x:t>
        </x:is>
      </x:c>
      <x:c r="F19" s="9" t="n">
        <x:v>5</x:v>
      </x:c>
      <x:c r="G19" s="9" t="n">
        <x:v>5</x:v>
      </x:c>
      <x:c r="H19" s="9" t="n">
        <x:v>5</x:v>
      </x:c>
      <x:c r="I19" s="9" t="n">
        <x:v>5</x:v>
      </x:c>
      <x:c r="J19" s="11" t="n">
        <x:f>IF(COUNT(F19:I19)=4,SUM(F19:I19),"")</x:f>
        <x:v>20</x:v>
      </x:c>
      <x:c r="K19" s="10" t="inlineStr">
        <x:is>
          <x:t xml:space="preserve">Correct: 210 km; explanation clear.</x:t>
        </x:is>
      </x:c>
      <x:c r="L19" s="10" t="inlineStr">
        <x:is>
          <x:t xml:space="preserve">Provisional — second scorer needed</x:t>
        </x:is>
      </x:c>
    </x:row>
    <x:row r="20">
      <x:c r="A20" s="9" t="n">
        <x:v>4</x:v>
      </x:c>
      <x:c r="B20" s="10" t="inlineStr">
        <x:is>
          <x:t xml:space="preserve">Reasoning and mathematics</x:t>
        </x:is>
      </x:c>
      <x:c r="C20" s="10" t="inlineStr">
        <x:is>
          <x:t xml:space="preserve">A train travels 120 km in 2 hours. At the same average speed, how far will it travel in 3.5 hours?</x:t>
        </x:is>
      </x:c>
      <x:c r="D20" s="9" t="inlineStr">
        <x:is>
          <x:t xml:space="preserve">Gemma 4 31B</x:t>
        </x:is>
      </x:c>
      <x:c r="E20" s="9" t="inlineStr">
        <x:is>
          <x:t xml:space="preserve">Google AI Studio</x:t>
        </x:is>
      </x:c>
      <x:c r="F20" s="9" t="n">
        <x:v>5</x:v>
      </x:c>
      <x:c r="G20" s="9" t="n">
        <x:v>5</x:v>
      </x:c>
      <x:c r="H20" s="9" t="n">
        <x:v>5</x:v>
      </x:c>
      <x:c r="I20" s="9" t="n">
        <x:v>5</x:v>
      </x:c>
      <x:c r="J20" s="11" t="n">
        <x:f>IF(COUNT(F20:I20)=4,SUM(F20:I20),"")</x:f>
        <x:v>20</x:v>
      </x:c>
      <x:c r="K20" s="10" t="inlineStr">
        <x:is>
          <x:t xml:space="preserve">Correct: 210 km; explanation clear.</x:t>
        </x:is>
      </x:c>
      <x:c r="L20" s="10" t="inlineStr">
        <x:is>
          <x:t xml:space="preserve">Provisional — second scorer needed</x:t>
        </x:is>
      </x:c>
    </x:row>
    <x:row r="21">
      <x:c r="A21" s="9" t="n">
        <x:v>5</x:v>
      </x:c>
      <x:c r="B21" s="10" t="inlineStr">
        <x:is>
          <x:t xml:space="preserve">Reasoning and mathematics</x:t>
        </x:is>
      </x:c>
      <x:c r="C21" s="10" t="inlineStr">
        <x:is>
          <x:t xml:space="preserve">A farmer has 17 sheep. All but 9 run away. How many sheep remain?</x:t>
        </x:is>
      </x:c>
      <x:c r="D21" s="9" t="inlineStr">
        <x:is>
          <x:t xml:space="preserve">gpt-oss-20b</x:t>
        </x:is>
      </x:c>
      <x:c r="E21" s="9" t="inlineStr">
        <x:is>
          <x:t xml:space="preserve">Groq</x:t>
        </x:is>
      </x:c>
      <x:c r="F21" s="9" t="n">
        <x:v>5</x:v>
      </x:c>
      <x:c r="G21" s="9" t="n">
        <x:v>5</x:v>
      </x:c>
      <x:c r="H21" s="9" t="n">
        <x:v>5</x:v>
      </x:c>
      <x:c r="I21" s="9" t="n">
        <x:v>5</x:v>
      </x:c>
      <x:c r="J21" s="11" t="n">
        <x:f>IF(COUNT(F21:I21)=4,SUM(F21:I21),"")</x:f>
        <x:v>20</x:v>
      </x:c>
      <x:c r="K21" s="10" t="str">
        <x:v>Correctly interprets 'all but 9': 9 sheep remain. Concise explanation.</x:v>
      </x:c>
      <x:c r="L21" s="10" t="str">
        <x:v>Provisional — second scorer needed</x:v>
      </x:c>
    </x:row>
    <x:row r="22">
      <x:c r="A22" s="9" t="n">
        <x:v>5</x:v>
      </x:c>
      <x:c r="B22" s="10" t="inlineStr">
        <x:is>
          <x:t xml:space="preserve">Reasoning and mathematics</x:t>
        </x:is>
      </x:c>
      <x:c r="C22" s="10" t="inlineStr">
        <x:is>
          <x:t xml:space="preserve">A farmer has 17 sheep. All but 9 run away. How many sheep remain?</x:t>
        </x:is>
      </x:c>
      <x:c r="D22" s="9" t="inlineStr">
        <x:is>
          <x:t xml:space="preserve">gpt-oss-120b</x:t>
        </x:is>
      </x:c>
      <x:c r="E22" s="9" t="inlineStr">
        <x:is>
          <x:t xml:space="preserve">Groq</x:t>
        </x:is>
      </x:c>
      <x:c r="F22" s="9" t="n">
        <x:v>5</x:v>
      </x:c>
      <x:c r="G22" s="9" t="n">
        <x:v>5</x:v>
      </x:c>
      <x:c r="H22" s="9" t="n">
        <x:v>5</x:v>
      </x:c>
      <x:c r="I22" s="9" t="n">
        <x:v>5</x:v>
      </x:c>
      <x:c r="J22" s="11" t="n">
        <x:f>IF(COUNT(F22:I22)=4,SUM(F22:I22),"")</x:f>
        <x:v>20</x:v>
      </x:c>
      <x:c r="K22" s="10" t="str">
        <x:v>Correctly explains that all except 9 sheep ran away; answer is 9. Concise and accurate.</x:v>
      </x:c>
      <x:c r="L22" s="10" t="str">
        <x:v>Provisional — second scorer needed</x:v>
      </x:c>
    </x:row>
    <x:row r="23">
      <x:c r="A23" s="9" t="n">
        <x:v>5</x:v>
      </x:c>
      <x:c r="B23" s="10" t="inlineStr">
        <x:is>
          <x:t xml:space="preserve">Reasoning and mathematics</x:t>
        </x:is>
      </x:c>
      <x:c r="C23" s="10" t="inlineStr">
        <x:is>
          <x:t xml:space="preserve">A farmer has 17 sheep. All but 9 run away. How many sheep remain?</x:t>
        </x:is>
      </x:c>
      <x:c r="D23" s="9" t="inlineStr">
        <x:is>
          <x:t xml:space="preserve">Qwen 3.8 27B (Preview)</x:t>
        </x:is>
      </x:c>
      <x:c r="E23" s="9" t="inlineStr">
        <x:is>
          <x:t xml:space="preserve">Groq</x:t>
        </x:is>
      </x:c>
      <x:c r="F23" s="9" t="n"/>
      <x:c r="G23" s="9" t="n"/>
      <x:c r="H23" s="9" t="n"/>
      <x:c r="I23" s="9" t="n"/>
      <x:c r="J23" s="11" t="str">
        <x:f>IF(COUNT(F23:I23)=4,SUM(F23:I23),"")</x:f>
      </x:c>
      <x:c r="K23" s="10" t="inlineStr">
        <x:is>
          <x:t xml:space="preserve"/>
        </x:is>
      </x:c>
      <x:c r="L23" s="10" t="inlineStr">
        <x:is>
          <x:t xml:space="preserve">Not recorded in this chat</x:t>
        </x:is>
      </x:c>
    </x:row>
    <x:row r="24">
      <x:c r="A24" s="9" t="n">
        <x:v>5</x:v>
      </x:c>
      <x:c r="B24" s="10" t="inlineStr">
        <x:is>
          <x:t xml:space="preserve">Reasoning and mathematics</x:t>
        </x:is>
      </x:c>
      <x:c r="C24" s="10" t="inlineStr">
        <x:is>
          <x:t xml:space="preserve">A farmer has 17 sheep. All but 9 run away. How many sheep remain?</x:t>
        </x:is>
      </x:c>
      <x:c r="D24" s="9" t="inlineStr">
        <x:is>
          <x:t xml:space="preserve">Gemma 4 31B</x:t>
        </x:is>
      </x:c>
      <x:c r="E24" s="9" t="inlineStr">
        <x:is>
          <x:t xml:space="preserve">Google AI Studio</x:t>
        </x:is>
      </x:c>
      <x:c r="F24" s="9" t="n"/>
      <x:c r="G24" s="9" t="n"/>
      <x:c r="H24" s="9" t="n"/>
      <x:c r="I24" s="9" t="n"/>
      <x:c r="J24" s="11" t="str">
        <x:f>IF(COUNT(F24:I24)=4,SUM(F24:I24),"")</x:f>
      </x:c>
      <x:c r="K24" s="10" t="inlineStr">
        <x:is>
          <x:t xml:space="preserve"/>
        </x:is>
      </x:c>
      <x:c r="L24" s="10" t="inlineStr">
        <x:is>
          <x:t xml:space="preserve">Not recorded in this chat</x:t>
        </x:is>
      </x:c>
    </x:row>
    <x:row r="25">
      <x:c r="A25" s="9" t="n">
        <x:v>6</x:v>
      </x:c>
      <x:c r="B25" s="10" t="inlineStr">
        <x:is>
          <x:t xml:space="preserve">Factual accuracy</x:t>
        </x:is>
      </x:c>
      <x:c r="C25" s="10" t="inlineStr">
        <x:is>
          <x:t xml:space="preserve">What is the capital of Australia?</x:t>
        </x:is>
      </x:c>
      <x:c r="D25" s="9" t="inlineStr">
        <x:is>
          <x:t xml:space="preserve">gpt-oss-20b</x:t>
        </x:is>
      </x:c>
      <x:c r="E25" s="9" t="inlineStr">
        <x:is>
          <x:t xml:space="preserve">Groq</x:t>
        </x:is>
      </x:c>
      <x:c r="F25" s="9" t="n"/>
      <x:c r="G25" s="9" t="n"/>
      <x:c r="H25" s="9" t="n"/>
      <x:c r="I25" s="9" t="n"/>
      <x:c r="J25" s="11" t="str">
        <x:f>IF(COUNT(F25:I25)=4,SUM(F25:I25),"")</x:f>
      </x:c>
      <x:c r="K25" s="10" t="inlineStr">
        <x:is>
          <x:t xml:space="preserve"/>
        </x:is>
      </x:c>
      <x:c r="L25" s="10" t="inlineStr">
        <x:is>
          <x:t xml:space="preserve">Not recorded in this chat</x:t>
        </x:is>
      </x:c>
    </x:row>
    <x:row r="26">
      <x:c r="A26" s="9" t="n">
        <x:v>6</x:v>
      </x:c>
      <x:c r="B26" s="10" t="inlineStr">
        <x:is>
          <x:t xml:space="preserve">Factual accuracy</x:t>
        </x:is>
      </x:c>
      <x:c r="C26" s="10" t="inlineStr">
        <x:is>
          <x:t xml:space="preserve">What is the capital of Australia?</x:t>
        </x:is>
      </x:c>
      <x:c r="D26" s="9" t="inlineStr">
        <x:is>
          <x:t xml:space="preserve">gpt-oss-120b</x:t>
        </x:is>
      </x:c>
      <x:c r="E26" s="9" t="inlineStr">
        <x:is>
          <x:t xml:space="preserve">Groq</x:t>
        </x:is>
      </x:c>
      <x:c r="F26" s="9" t="n"/>
      <x:c r="G26" s="9" t="n"/>
      <x:c r="H26" s="9" t="n"/>
      <x:c r="I26" s="9" t="n"/>
      <x:c r="J26" s="11" t="str">
        <x:f>IF(COUNT(F26:I26)=4,SUM(F26:I26),"")</x:f>
      </x:c>
      <x:c r="K26" s="10" t="inlineStr">
        <x:is>
          <x:t xml:space="preserve"/>
        </x:is>
      </x:c>
      <x:c r="L26" s="10" t="inlineStr">
        <x:is>
          <x:t xml:space="preserve">Not recorded in this chat</x:t>
        </x:is>
      </x:c>
    </x:row>
    <x:row r="27">
      <x:c r="A27" s="9" t="n">
        <x:v>6</x:v>
      </x:c>
      <x:c r="B27" s="10" t="inlineStr">
        <x:is>
          <x:t xml:space="preserve">Factual accuracy</x:t>
        </x:is>
      </x:c>
      <x:c r="C27" s="10" t="inlineStr">
        <x:is>
          <x:t xml:space="preserve">What is the capital of Australia?</x:t>
        </x:is>
      </x:c>
      <x:c r="D27" s="9" t="inlineStr">
        <x:is>
          <x:t xml:space="preserve">Qwen 3.8 27B (Preview)</x:t>
        </x:is>
      </x:c>
      <x:c r="E27" s="9" t="inlineStr">
        <x:is>
          <x:t xml:space="preserve">Groq</x:t>
        </x:is>
      </x:c>
      <x:c r="F27" s="9" t="n"/>
      <x:c r="G27" s="9" t="n"/>
      <x:c r="H27" s="9" t="n"/>
      <x:c r="I27" s="9" t="n"/>
      <x:c r="J27" s="11" t="str">
        <x:f>IF(COUNT(F27:I27)=4,SUM(F27:I27),"")</x:f>
      </x:c>
      <x:c r="K27" s="10" t="inlineStr">
        <x:is>
          <x:t xml:space="preserve"/>
        </x:is>
      </x:c>
      <x:c r="L27" s="10" t="inlineStr">
        <x:is>
          <x:t xml:space="preserve">Not recorded in this chat</x:t>
        </x:is>
      </x:c>
    </x:row>
    <x:row r="28">
      <x:c r="A28" s="9" t="n">
        <x:v>6</x:v>
      </x:c>
      <x:c r="B28" s="10" t="inlineStr">
        <x:is>
          <x:t xml:space="preserve">Factual accuracy</x:t>
        </x:is>
      </x:c>
      <x:c r="C28" s="10" t="inlineStr">
        <x:is>
          <x:t xml:space="preserve">What is the capital of Australia?</x:t>
        </x:is>
      </x:c>
      <x:c r="D28" s="9" t="inlineStr">
        <x:is>
          <x:t xml:space="preserve">Gemma 4 31B</x:t>
        </x:is>
      </x:c>
      <x:c r="E28" s="9" t="inlineStr">
        <x:is>
          <x:t xml:space="preserve">Google AI Studio</x:t>
        </x:is>
      </x:c>
      <x:c r="F28" s="9" t="n"/>
      <x:c r="G28" s="9" t="n"/>
      <x:c r="H28" s="9" t="n"/>
      <x:c r="I28" s="9" t="n"/>
      <x:c r="J28" s="11" t="str">
        <x:f>IF(COUNT(F28:I28)=4,SUM(F28:I28),"")</x:f>
      </x:c>
      <x:c r="K28" s="10" t="inlineStr">
        <x:is>
          <x:t xml:space="preserve"/>
        </x:is>
      </x:c>
      <x:c r="L28" s="10" t="inlineStr">
        <x:is>
          <x:t xml:space="preserve">Not recorded in this chat</x:t>
        </x:is>
      </x:c>
    </x:row>
    <x:row r="29">
      <x:c r="A29" s="9" t="n">
        <x:v>7</x:v>
      </x:c>
      <x:c r="B29" s="10" t="inlineStr">
        <x:is>
          <x:t xml:space="preserve">Factual accuracy</x:t>
        </x:is>
      </x:c>
      <x:c r="C29" s="10" t="inlineStr">
        <x:is>
          <x:t xml:space="preserve">Who won the 2019 Nobel Prize in Cricket? If no such prize exists, say so.</x:t>
        </x:is>
      </x:c>
      <x:c r="D29" s="9" t="inlineStr">
        <x:is>
          <x:t xml:space="preserve">gpt-oss-20b</x:t>
        </x:is>
      </x:c>
      <x:c r="E29" s="9" t="inlineStr">
        <x:is>
          <x:t xml:space="preserve">Groq</x:t>
        </x:is>
      </x:c>
      <x:c r="F29" s="9" t="n"/>
      <x:c r="G29" s="9" t="n"/>
      <x:c r="H29" s="9" t="n"/>
      <x:c r="I29" s="9" t="n"/>
      <x:c r="J29" s="11" t="str">
        <x:f>IF(COUNT(F29:I29)=4,SUM(F29:I29),"")</x:f>
      </x:c>
      <x:c r="K29" s="10" t="inlineStr">
        <x:is>
          <x:t xml:space="preserve"/>
        </x:is>
      </x:c>
      <x:c r="L29" s="10" t="inlineStr">
        <x:is>
          <x:t xml:space="preserve">Not recorded in this chat</x:t>
        </x:is>
      </x:c>
    </x:row>
    <x:row r="30">
      <x:c r="A30" s="9" t="n">
        <x:v>7</x:v>
      </x:c>
      <x:c r="B30" s="10" t="inlineStr">
        <x:is>
          <x:t xml:space="preserve">Factual accuracy</x:t>
        </x:is>
      </x:c>
      <x:c r="C30" s="10" t="inlineStr">
        <x:is>
          <x:t xml:space="preserve">Who won the 2019 Nobel Prize in Cricket? If no such prize exists, say so.</x:t>
        </x:is>
      </x:c>
      <x:c r="D30" s="9" t="inlineStr">
        <x:is>
          <x:t xml:space="preserve">gpt-oss-120b</x:t>
        </x:is>
      </x:c>
      <x:c r="E30" s="9" t="inlineStr">
        <x:is>
          <x:t xml:space="preserve">Groq</x:t>
        </x:is>
      </x:c>
      <x:c r="F30" s="9" t="n"/>
      <x:c r="G30" s="9" t="n"/>
      <x:c r="H30" s="9" t="n"/>
      <x:c r="I30" s="9" t="n"/>
      <x:c r="J30" s="11" t="str">
        <x:f>IF(COUNT(F30:I30)=4,SUM(F30:I30),"")</x:f>
      </x:c>
      <x:c r="K30" s="10" t="inlineStr">
        <x:is>
          <x:t xml:space="preserve"/>
        </x:is>
      </x:c>
      <x:c r="L30" s="10" t="inlineStr">
        <x:is>
          <x:t xml:space="preserve">Not recorded in this chat</x:t>
        </x:is>
      </x:c>
    </x:row>
    <x:row r="31">
      <x:c r="A31" s="9" t="n">
        <x:v>7</x:v>
      </x:c>
      <x:c r="B31" s="10" t="inlineStr">
        <x:is>
          <x:t xml:space="preserve">Factual accuracy</x:t>
        </x:is>
      </x:c>
      <x:c r="C31" s="10" t="inlineStr">
        <x:is>
          <x:t xml:space="preserve">Who won the 2019 Nobel Prize in Cricket? If no such prize exists, say so.</x:t>
        </x:is>
      </x:c>
      <x:c r="D31" s="9" t="inlineStr">
        <x:is>
          <x:t xml:space="preserve">Qwen 3.8 27B (Preview)</x:t>
        </x:is>
      </x:c>
      <x:c r="E31" s="9" t="inlineStr">
        <x:is>
          <x:t xml:space="preserve">Groq</x:t>
        </x:is>
      </x:c>
      <x:c r="F31" s="9" t="n"/>
      <x:c r="G31" s="9" t="n"/>
      <x:c r="H31" s="9" t="n"/>
      <x:c r="I31" s="9" t="n"/>
      <x:c r="J31" s="11" t="str">
        <x:f>IF(COUNT(F31:I31)=4,SUM(F31:I31),"")</x:f>
      </x:c>
      <x:c r="K31" s="10" t="inlineStr">
        <x:is>
          <x:t xml:space="preserve"/>
        </x:is>
      </x:c>
      <x:c r="L31" s="10" t="inlineStr">
        <x:is>
          <x:t xml:space="preserve">Not recorded in this chat</x:t>
        </x:is>
      </x:c>
    </x:row>
    <x:row r="32">
      <x:c r="A32" s="9" t="n">
        <x:v>7</x:v>
      </x:c>
      <x:c r="B32" s="10" t="inlineStr">
        <x:is>
          <x:t xml:space="preserve">Factual accuracy</x:t>
        </x:is>
      </x:c>
      <x:c r="C32" s="10" t="inlineStr">
        <x:is>
          <x:t xml:space="preserve">Who won the 2019 Nobel Prize in Cricket? If no such prize exists, say so.</x:t>
        </x:is>
      </x:c>
      <x:c r="D32" s="9" t="inlineStr">
        <x:is>
          <x:t xml:space="preserve">Gemma 4 31B</x:t>
        </x:is>
      </x:c>
      <x:c r="E32" s="9" t="inlineStr">
        <x:is>
          <x:t xml:space="preserve">Google AI Studio</x:t>
        </x:is>
      </x:c>
      <x:c r="F32" s="9" t="n"/>
      <x:c r="G32" s="9" t="n"/>
      <x:c r="H32" s="9" t="n"/>
      <x:c r="I32" s="9" t="n"/>
      <x:c r="J32" s="11" t="str">
        <x:f>IF(COUNT(F32:I32)=4,SUM(F32:I32),"")</x:f>
      </x:c>
      <x:c r="K32" s="10" t="inlineStr">
        <x:is>
          <x:t xml:space="preserve"/>
        </x:is>
      </x:c>
      <x:c r="L32" s="10" t="inlineStr">
        <x:is>
          <x:t xml:space="preserve">Not recorded in this chat</x:t>
        </x:is>
      </x:c>
    </x:row>
    <x:row r="33">
      <x:c r="A33" s="9" t="n">
        <x:v>8</x:v>
      </x:c>
      <x:c r="B33" s="10" t="inlineStr">
        <x:is>
          <x:t xml:space="preserve">Factual accuracy</x:t>
        </x:is>
      </x:c>
      <x:c r="C33" s="10" t="inlineStr">
        <x:is>
          <x:t xml:space="preserve">What is the chemical formula of water?</x:t>
        </x:is>
      </x:c>
      <x:c r="D33" s="9" t="inlineStr">
        <x:is>
          <x:t xml:space="preserve">gpt-oss-20b</x:t>
        </x:is>
      </x:c>
      <x:c r="E33" s="9" t="inlineStr">
        <x:is>
          <x:t xml:space="preserve">Groq</x:t>
        </x:is>
      </x:c>
      <x:c r="F33" s="9" t="n"/>
      <x:c r="G33" s="9" t="n"/>
      <x:c r="H33" s="9" t="n"/>
      <x:c r="I33" s="9" t="n"/>
      <x:c r="J33" s="11" t="str">
        <x:f>IF(COUNT(F33:I33)=4,SUM(F33:I33),"")</x:f>
      </x:c>
      <x:c r="K33" s="10" t="inlineStr">
        <x:is>
          <x:t xml:space="preserve"/>
        </x:is>
      </x:c>
      <x:c r="L33" s="10" t="inlineStr">
        <x:is>
          <x:t xml:space="preserve">Not recorded in this chat</x:t>
        </x:is>
      </x:c>
    </x:row>
    <x:row r="34">
      <x:c r="A34" s="9" t="n">
        <x:v>8</x:v>
      </x:c>
      <x:c r="B34" s="10" t="inlineStr">
        <x:is>
          <x:t xml:space="preserve">Factual accuracy</x:t>
        </x:is>
      </x:c>
      <x:c r="C34" s="10" t="inlineStr">
        <x:is>
          <x:t xml:space="preserve">What is the chemical formula of water?</x:t>
        </x:is>
      </x:c>
      <x:c r="D34" s="9" t="inlineStr">
        <x:is>
          <x:t xml:space="preserve">gpt-oss-120b</x:t>
        </x:is>
      </x:c>
      <x:c r="E34" s="9" t="inlineStr">
        <x:is>
          <x:t xml:space="preserve">Groq</x:t>
        </x:is>
      </x:c>
      <x:c r="F34" s="9" t="n"/>
      <x:c r="G34" s="9" t="n"/>
      <x:c r="H34" s="9" t="n"/>
      <x:c r="I34" s="9" t="n"/>
      <x:c r="J34" s="11" t="str">
        <x:f>IF(COUNT(F34:I34)=4,SUM(F34:I34),"")</x:f>
      </x:c>
      <x:c r="K34" s="10" t="inlineStr">
        <x:is>
          <x:t xml:space="preserve"/>
        </x:is>
      </x:c>
      <x:c r="L34" s="10" t="inlineStr">
        <x:is>
          <x:t xml:space="preserve">Not recorded in this chat</x:t>
        </x:is>
      </x:c>
    </x:row>
    <x:row r="35">
      <x:c r="A35" s="9" t="n">
        <x:v>8</x:v>
      </x:c>
      <x:c r="B35" s="10" t="inlineStr">
        <x:is>
          <x:t xml:space="preserve">Factual accuracy</x:t>
        </x:is>
      </x:c>
      <x:c r="C35" s="10" t="inlineStr">
        <x:is>
          <x:t xml:space="preserve">What is the chemical formula of water?</x:t>
        </x:is>
      </x:c>
      <x:c r="D35" s="9" t="inlineStr">
        <x:is>
          <x:t xml:space="preserve">Qwen 3.8 27B (Preview)</x:t>
        </x:is>
      </x:c>
      <x:c r="E35" s="9" t="inlineStr">
        <x:is>
          <x:t xml:space="preserve">Groq</x:t>
        </x:is>
      </x:c>
      <x:c r="F35" s="9" t="n"/>
      <x:c r="G35" s="9" t="n"/>
      <x:c r="H35" s="9" t="n"/>
      <x:c r="I35" s="9" t="n"/>
      <x:c r="J35" s="11" t="str">
        <x:f>IF(COUNT(F35:I35)=4,SUM(F35:I35),"")</x:f>
      </x:c>
      <x:c r="K35" s="10" t="inlineStr">
        <x:is>
          <x:t xml:space="preserve"/>
        </x:is>
      </x:c>
      <x:c r="L35" s="10" t="inlineStr">
        <x:is>
          <x:t xml:space="preserve">Not recorded in this chat</x:t>
        </x:is>
      </x:c>
    </x:row>
    <x:row r="36">
      <x:c r="A36" s="9" t="n">
        <x:v>8</x:v>
      </x:c>
      <x:c r="B36" s="10" t="inlineStr">
        <x:is>
          <x:t xml:space="preserve">Factual accuracy</x:t>
        </x:is>
      </x:c>
      <x:c r="C36" s="10" t="inlineStr">
        <x:is>
          <x:t xml:space="preserve">What is the chemical formula of water?</x:t>
        </x:is>
      </x:c>
      <x:c r="D36" s="9" t="inlineStr">
        <x:is>
          <x:t xml:space="preserve">Gemma 4 31B</x:t>
        </x:is>
      </x:c>
      <x:c r="E36" s="9" t="inlineStr">
        <x:is>
          <x:t xml:space="preserve">Google AI Studio</x:t>
        </x:is>
      </x:c>
      <x:c r="F36" s="9" t="n"/>
      <x:c r="G36" s="9" t="n"/>
      <x:c r="H36" s="9" t="n"/>
      <x:c r="I36" s="9" t="n"/>
      <x:c r="J36" s="11" t="str">
        <x:f>IF(COUNT(F36:I36)=4,SUM(F36:I36),"")</x:f>
      </x:c>
      <x:c r="K36" s="10" t="inlineStr">
        <x:is>
          <x:t xml:space="preserve"/>
        </x:is>
      </x:c>
      <x:c r="L36" s="10" t="inlineStr">
        <x:is>
          <x:t xml:space="preserve">Not recorded in this chat</x:t>
        </x:is>
      </x:c>
    </x:row>
    <x:row r="37">
      <x:c r="A37" s="9" t="n">
        <x:v>9</x:v>
      </x:c>
      <x:c r="B37" s="10" t="inlineStr">
        <x:is>
          <x:t xml:space="preserve">Factual accuracy</x:t>
        </x:is>
      </x:c>
      <x:c r="C37" s="10" t="inlineStr">
        <x:is>
          <x:t xml:space="preserve">Who wrote the play Romeo and Juliet?</x:t>
        </x:is>
      </x:c>
      <x:c r="D37" s="9" t="inlineStr">
        <x:is>
          <x:t xml:space="preserve">gpt-oss-20b</x:t>
        </x:is>
      </x:c>
      <x:c r="E37" s="9" t="inlineStr">
        <x:is>
          <x:t xml:space="preserve">Groq</x:t>
        </x:is>
      </x:c>
      <x:c r="F37" s="9" t="n"/>
      <x:c r="G37" s="9" t="n"/>
      <x:c r="H37" s="9" t="n"/>
      <x:c r="I37" s="9" t="n"/>
      <x:c r="J37" s="11" t="str">
        <x:f>IF(COUNT(F37:I37)=4,SUM(F37:I37),"")</x:f>
      </x:c>
      <x:c r="K37" s="10" t="inlineStr">
        <x:is>
          <x:t xml:space="preserve"/>
        </x:is>
      </x:c>
      <x:c r="L37" s="10" t="inlineStr">
        <x:is>
          <x:t xml:space="preserve">Not recorded in this chat</x:t>
        </x:is>
      </x:c>
    </x:row>
    <x:row r="38">
      <x:c r="A38" s="9" t="n">
        <x:v>9</x:v>
      </x:c>
      <x:c r="B38" s="10" t="inlineStr">
        <x:is>
          <x:t xml:space="preserve">Factual accuracy</x:t>
        </x:is>
      </x:c>
      <x:c r="C38" s="10" t="inlineStr">
        <x:is>
          <x:t xml:space="preserve">Who wrote the play Romeo and Juliet?</x:t>
        </x:is>
      </x:c>
      <x:c r="D38" s="9" t="inlineStr">
        <x:is>
          <x:t xml:space="preserve">gpt-oss-120b</x:t>
        </x:is>
      </x:c>
      <x:c r="E38" s="9" t="inlineStr">
        <x:is>
          <x:t xml:space="preserve">Groq</x:t>
        </x:is>
      </x:c>
      <x:c r="F38" s="9" t="n"/>
      <x:c r="G38" s="9" t="n"/>
      <x:c r="H38" s="9" t="n"/>
      <x:c r="I38" s="9" t="n"/>
      <x:c r="J38" s="11" t="str">
        <x:f>IF(COUNT(F38:I38)=4,SUM(F38:I38),"")</x:f>
      </x:c>
      <x:c r="K38" s="10" t="inlineStr">
        <x:is>
          <x:t xml:space="preserve"/>
        </x:is>
      </x:c>
      <x:c r="L38" s="10" t="inlineStr">
        <x:is>
          <x:t xml:space="preserve">Not recorded in this chat</x:t>
        </x:is>
      </x:c>
    </x:row>
    <x:row r="39">
      <x:c r="A39" s="9" t="n">
        <x:v>9</x:v>
      </x:c>
      <x:c r="B39" s="10" t="inlineStr">
        <x:is>
          <x:t xml:space="preserve">Factual accuracy</x:t>
        </x:is>
      </x:c>
      <x:c r="C39" s="10" t="inlineStr">
        <x:is>
          <x:t xml:space="preserve">Who wrote the play Romeo and Juliet?</x:t>
        </x:is>
      </x:c>
      <x:c r="D39" s="9" t="inlineStr">
        <x:is>
          <x:t xml:space="preserve">Qwen 3.8 27B (Preview)</x:t>
        </x:is>
      </x:c>
      <x:c r="E39" s="9" t="inlineStr">
        <x:is>
          <x:t xml:space="preserve">Groq</x:t>
        </x:is>
      </x:c>
      <x:c r="F39" s="9" t="n"/>
      <x:c r="G39" s="9" t="n"/>
      <x:c r="H39" s="9" t="n"/>
      <x:c r="I39" s="9" t="n"/>
      <x:c r="J39" s="11" t="str">
        <x:f>IF(COUNT(F39:I39)=4,SUM(F39:I39),"")</x:f>
      </x:c>
      <x:c r="K39" s="10" t="inlineStr">
        <x:is>
          <x:t xml:space="preserve"/>
        </x:is>
      </x:c>
      <x:c r="L39" s="10" t="inlineStr">
        <x:is>
          <x:t xml:space="preserve">Not recorded in this chat</x:t>
        </x:is>
      </x:c>
    </x:row>
    <x:row r="40">
      <x:c r="A40" s="9" t="n">
        <x:v>9</x:v>
      </x:c>
      <x:c r="B40" s="10" t="inlineStr">
        <x:is>
          <x:t xml:space="preserve">Factual accuracy</x:t>
        </x:is>
      </x:c>
      <x:c r="C40" s="10" t="inlineStr">
        <x:is>
          <x:t xml:space="preserve">Who wrote the play Romeo and Juliet?</x:t>
        </x:is>
      </x:c>
      <x:c r="D40" s="9" t="inlineStr">
        <x:is>
          <x:t xml:space="preserve">Gemma 4 31B</x:t>
        </x:is>
      </x:c>
      <x:c r="E40" s="9" t="inlineStr">
        <x:is>
          <x:t xml:space="preserve">Google AI Studio</x:t>
        </x:is>
      </x:c>
      <x:c r="F40" s="9" t="n"/>
      <x:c r="G40" s="9" t="n"/>
      <x:c r="H40" s="9" t="n"/>
      <x:c r="I40" s="9" t="n"/>
      <x:c r="J40" s="11" t="str">
        <x:f>IF(COUNT(F40:I40)=4,SUM(F40:I40),"")</x:f>
      </x:c>
      <x:c r="K40" s="10" t="inlineStr">
        <x:is>
          <x:t xml:space="preserve"/>
        </x:is>
      </x:c>
      <x:c r="L40" s="10" t="inlineStr">
        <x:is>
          <x:t xml:space="preserve">Not recorded in this chat</x:t>
        </x:is>
      </x:c>
    </x:row>
    <x:row r="41">
      <x:c r="A41" s="9" t="n">
        <x:v>10</x:v>
      </x:c>
      <x:c r="B41" s="10" t="inlineStr">
        <x:is>
          <x:t xml:space="preserve">Factual accuracy</x:t>
        </x:is>
      </x:c>
      <x:c r="C41" s="10" t="inlineStr">
        <x:is>
          <x:t xml:space="preserve">Is the Sun a planet or a star? Explain in one sentence.</x:t>
        </x:is>
      </x:c>
      <x:c r="D41" s="9" t="inlineStr">
        <x:is>
          <x:t xml:space="preserve">gpt-oss-20b</x:t>
        </x:is>
      </x:c>
      <x:c r="E41" s="9" t="inlineStr">
        <x:is>
          <x:t xml:space="preserve">Groq</x:t>
        </x:is>
      </x:c>
      <x:c r="F41" s="9" t="n"/>
      <x:c r="G41" s="9" t="n"/>
      <x:c r="H41" s="9" t="n"/>
      <x:c r="I41" s="9" t="n"/>
      <x:c r="J41" s="11" t="str">
        <x:f>IF(COUNT(F41:I41)=4,SUM(F41:I41),"")</x:f>
      </x:c>
      <x:c r="K41" s="10" t="inlineStr">
        <x:is>
          <x:t xml:space="preserve"/>
        </x:is>
      </x:c>
      <x:c r="L41" s="10" t="inlineStr">
        <x:is>
          <x:t xml:space="preserve">Not recorded in this chat</x:t>
        </x:is>
      </x:c>
    </x:row>
    <x:row r="42">
      <x:c r="A42" s="9" t="n">
        <x:v>10</x:v>
      </x:c>
      <x:c r="B42" s="10" t="inlineStr">
        <x:is>
          <x:t xml:space="preserve">Factual accuracy</x:t>
        </x:is>
      </x:c>
      <x:c r="C42" s="10" t="inlineStr">
        <x:is>
          <x:t xml:space="preserve">Is the Sun a planet or a star? Explain in one sentence.</x:t>
        </x:is>
      </x:c>
      <x:c r="D42" s="9" t="inlineStr">
        <x:is>
          <x:t xml:space="preserve">gpt-oss-120b</x:t>
        </x:is>
      </x:c>
      <x:c r="E42" s="9" t="inlineStr">
        <x:is>
          <x:t xml:space="preserve">Groq</x:t>
        </x:is>
      </x:c>
      <x:c r="F42" s="9" t="n"/>
      <x:c r="G42" s="9" t="n"/>
      <x:c r="H42" s="9" t="n"/>
      <x:c r="I42" s="9" t="n"/>
      <x:c r="J42" s="11" t="str">
        <x:f>IF(COUNT(F42:I42)=4,SUM(F42:I42),"")</x:f>
      </x:c>
      <x:c r="K42" s="10" t="inlineStr">
        <x:is>
          <x:t xml:space="preserve"/>
        </x:is>
      </x:c>
      <x:c r="L42" s="10" t="inlineStr">
        <x:is>
          <x:t xml:space="preserve">Not recorded in this chat</x:t>
        </x:is>
      </x:c>
    </x:row>
    <x:row r="43">
      <x:c r="A43" s="9" t="n">
        <x:v>10</x:v>
      </x:c>
      <x:c r="B43" s="10" t="inlineStr">
        <x:is>
          <x:t xml:space="preserve">Factual accuracy</x:t>
        </x:is>
      </x:c>
      <x:c r="C43" s="10" t="inlineStr">
        <x:is>
          <x:t xml:space="preserve">Is the Sun a planet or a star? Explain in one sentence.</x:t>
        </x:is>
      </x:c>
      <x:c r="D43" s="9" t="inlineStr">
        <x:is>
          <x:t xml:space="preserve">Qwen 3.8 27B (Preview)</x:t>
        </x:is>
      </x:c>
      <x:c r="E43" s="9" t="inlineStr">
        <x:is>
          <x:t xml:space="preserve">Groq</x:t>
        </x:is>
      </x:c>
      <x:c r="F43" s="9" t="n"/>
      <x:c r="G43" s="9" t="n"/>
      <x:c r="H43" s="9" t="n"/>
      <x:c r="I43" s="9" t="n"/>
      <x:c r="J43" s="11" t="str">
        <x:f>IF(COUNT(F43:I43)=4,SUM(F43:I43),"")</x:f>
      </x:c>
      <x:c r="K43" s="10" t="inlineStr">
        <x:is>
          <x:t xml:space="preserve"/>
        </x:is>
      </x:c>
      <x:c r="L43" s="10" t="inlineStr">
        <x:is>
          <x:t xml:space="preserve">Not recorded in this chat</x:t>
        </x:is>
      </x:c>
    </x:row>
    <x:row r="44">
      <x:c r="A44" s="9" t="n">
        <x:v>10</x:v>
      </x:c>
      <x:c r="B44" s="10" t="inlineStr">
        <x:is>
          <x:t xml:space="preserve">Factual accuracy</x:t>
        </x:is>
      </x:c>
      <x:c r="C44" s="10" t="inlineStr">
        <x:is>
          <x:t xml:space="preserve">Is the Sun a planet or a star? Explain in one sentence.</x:t>
        </x:is>
      </x:c>
      <x:c r="D44" s="9" t="inlineStr">
        <x:is>
          <x:t xml:space="preserve">Gemma 4 31B</x:t>
        </x:is>
      </x:c>
      <x:c r="E44" s="9" t="inlineStr">
        <x:is>
          <x:t xml:space="preserve">Google AI Studio</x:t>
        </x:is>
      </x:c>
      <x:c r="F44" s="9" t="n"/>
      <x:c r="G44" s="9" t="n"/>
      <x:c r="H44" s="9" t="n"/>
      <x:c r="I44" s="9" t="n"/>
      <x:c r="J44" s="11" t="str">
        <x:f>IF(COUNT(F44:I44)=4,SUM(F44:I44),"")</x:f>
      </x:c>
      <x:c r="K44" s="10" t="inlineStr">
        <x:is>
          <x:t xml:space="preserve"/>
        </x:is>
      </x:c>
      <x:c r="L44" s="10" t="inlineStr">
        <x:is>
          <x:t xml:space="preserve">Not recorded in this chat</x:t>
        </x:is>
      </x:c>
    </x:row>
    <x:row r="45">
      <x:c r="A45" s="9" t="n">
        <x:v>11</x:v>
      </x:c>
      <x:c r="B45" s="10" t="inlineStr">
        <x:is>
          <x:t xml:space="preserve">Instruction following</x:t>
        </x:is>
      </x:c>
      <x:c r="C45" s="10" t="inlineStr">
        <x:is>
          <x:t xml:space="preserve">List exactly three benefits of open-source software, each in fewer than ten words, as a numbered list.</x:t>
        </x:is>
      </x:c>
      <x:c r="D45" s="9" t="inlineStr">
        <x:is>
          <x:t xml:space="preserve">gpt-oss-20b</x:t>
        </x:is>
      </x:c>
      <x:c r="E45" s="9" t="inlineStr">
        <x:is>
          <x:t xml:space="preserve">Groq</x:t>
        </x:is>
      </x:c>
      <x:c r="F45" s="9" t="n"/>
      <x:c r="G45" s="9" t="n"/>
      <x:c r="H45" s="9" t="n"/>
      <x:c r="I45" s="9" t="n"/>
      <x:c r="J45" s="11" t="str">
        <x:f>IF(COUNT(F45:I45)=4,SUM(F45:I45),"")</x:f>
      </x:c>
      <x:c r="K45" s="10" t="inlineStr">
        <x:is>
          <x:t xml:space="preserve"/>
        </x:is>
      </x:c>
      <x:c r="L45" s="10" t="inlineStr">
        <x:is>
          <x:t xml:space="preserve">Not recorded in this chat</x:t>
        </x:is>
      </x:c>
    </x:row>
    <x:row r="46">
      <x:c r="A46" s="9" t="n">
        <x:v>11</x:v>
      </x:c>
      <x:c r="B46" s="10" t="inlineStr">
        <x:is>
          <x:t xml:space="preserve">Instruction following</x:t>
        </x:is>
      </x:c>
      <x:c r="C46" s="10" t="inlineStr">
        <x:is>
          <x:t xml:space="preserve">List exactly three benefits of open-source software, each in fewer than ten words, as a numbered list.</x:t>
        </x:is>
      </x:c>
      <x:c r="D46" s="9" t="inlineStr">
        <x:is>
          <x:t xml:space="preserve">gpt-oss-120b</x:t>
        </x:is>
      </x:c>
      <x:c r="E46" s="9" t="inlineStr">
        <x:is>
          <x:t xml:space="preserve">Groq</x:t>
        </x:is>
      </x:c>
      <x:c r="F46" s="9" t="n"/>
      <x:c r="G46" s="9" t="n"/>
      <x:c r="H46" s="9" t="n"/>
      <x:c r="I46" s="9" t="n"/>
      <x:c r="J46" s="11" t="str">
        <x:f>IF(COUNT(F46:I46)=4,SUM(F46:I46),"")</x:f>
      </x:c>
      <x:c r="K46" s="10" t="inlineStr">
        <x:is>
          <x:t xml:space="preserve"/>
        </x:is>
      </x:c>
      <x:c r="L46" s="10" t="inlineStr">
        <x:is>
          <x:t xml:space="preserve">Not recorded in this chat</x:t>
        </x:is>
      </x:c>
    </x:row>
    <x:row r="47">
      <x:c r="A47" s="9" t="n">
        <x:v>11</x:v>
      </x:c>
      <x:c r="B47" s="10" t="inlineStr">
        <x:is>
          <x:t xml:space="preserve">Instruction following</x:t>
        </x:is>
      </x:c>
      <x:c r="C47" s="10" t="inlineStr">
        <x:is>
          <x:t xml:space="preserve">List exactly three benefits of open-source software, each in fewer than ten words, as a numbered list.</x:t>
        </x:is>
      </x:c>
      <x:c r="D47" s="9" t="inlineStr">
        <x:is>
          <x:t xml:space="preserve">Qwen 3.8 27B (Preview)</x:t>
        </x:is>
      </x:c>
      <x:c r="E47" s="9" t="inlineStr">
        <x:is>
          <x:t xml:space="preserve">Groq</x:t>
        </x:is>
      </x:c>
      <x:c r="F47" s="9" t="n"/>
      <x:c r="G47" s="9" t="n"/>
      <x:c r="H47" s="9" t="n"/>
      <x:c r="I47" s="9" t="n"/>
      <x:c r="J47" s="11" t="str">
        <x:f>IF(COUNT(F47:I47)=4,SUM(F47:I47),"")</x:f>
      </x:c>
      <x:c r="K47" s="10" t="inlineStr">
        <x:is>
          <x:t xml:space="preserve"/>
        </x:is>
      </x:c>
      <x:c r="L47" s="10" t="inlineStr">
        <x:is>
          <x:t xml:space="preserve">Not recorded in this chat</x:t>
        </x:is>
      </x:c>
    </x:row>
    <x:row r="48">
      <x:c r="A48" s="9" t="n">
        <x:v>11</x:v>
      </x:c>
      <x:c r="B48" s="10" t="inlineStr">
        <x:is>
          <x:t xml:space="preserve">Instruction following</x:t>
        </x:is>
      </x:c>
      <x:c r="C48" s="10" t="inlineStr">
        <x:is>
          <x:t xml:space="preserve">List exactly three benefits of open-source software, each in fewer than ten words, as a numbered list.</x:t>
        </x:is>
      </x:c>
      <x:c r="D48" s="9" t="inlineStr">
        <x:is>
          <x:t xml:space="preserve">Gemma 4 31B</x:t>
        </x:is>
      </x:c>
      <x:c r="E48" s="9" t="inlineStr">
        <x:is>
          <x:t xml:space="preserve">Google AI Studio</x:t>
        </x:is>
      </x:c>
      <x:c r="F48" s="9" t="n"/>
      <x:c r="G48" s="9" t="n"/>
      <x:c r="H48" s="9" t="n"/>
      <x:c r="I48" s="9" t="n"/>
      <x:c r="J48" s="11" t="str">
        <x:f>IF(COUNT(F48:I48)=4,SUM(F48:I48),"")</x:f>
      </x:c>
      <x:c r="K48" s="10" t="inlineStr">
        <x:is>
          <x:t xml:space="preserve"/>
        </x:is>
      </x:c>
      <x:c r="L48" s="10" t="inlineStr">
        <x:is>
          <x:t xml:space="preserve">Not recorded in this chat</x:t>
        </x:is>
      </x:c>
    </x:row>
    <x:row r="49">
      <x:c r="A49" s="9" t="n">
        <x:v>12</x:v>
      </x:c>
      <x:c r="B49" s="10" t="inlineStr">
        <x:is>
          <x:t xml:space="preserve">Instruction following</x:t>
        </x:is>
      </x:c>
      <x:c r="C49" s="10" t="inlineStr">
        <x:is>
          <x:t xml:space="preserve">Explain machine learning in exactly two sentences for a beginner.</x:t>
        </x:is>
      </x:c>
      <x:c r="D49" s="9" t="inlineStr">
        <x:is>
          <x:t xml:space="preserve">gpt-oss-20b</x:t>
        </x:is>
      </x:c>
      <x:c r="E49" s="9" t="inlineStr">
        <x:is>
          <x:t xml:space="preserve">Groq</x:t>
        </x:is>
      </x:c>
      <x:c r="F49" s="9" t="n"/>
      <x:c r="G49" s="9" t="n"/>
      <x:c r="H49" s="9" t="n"/>
      <x:c r="I49" s="9" t="n"/>
      <x:c r="J49" s="11" t="str">
        <x:f>IF(COUNT(F49:I49)=4,SUM(F49:I49),"")</x:f>
      </x:c>
      <x:c r="K49" s="10" t="inlineStr">
        <x:is>
          <x:t xml:space="preserve"/>
        </x:is>
      </x:c>
      <x:c r="L49" s="10" t="inlineStr">
        <x:is>
          <x:t xml:space="preserve">Not recorded in this chat</x:t>
        </x:is>
      </x:c>
    </x:row>
    <x:row r="50">
      <x:c r="A50" s="9" t="n">
        <x:v>12</x:v>
      </x:c>
      <x:c r="B50" s="10" t="inlineStr">
        <x:is>
          <x:t xml:space="preserve">Instruction following</x:t>
        </x:is>
      </x:c>
      <x:c r="C50" s="10" t="inlineStr">
        <x:is>
          <x:t xml:space="preserve">Explain machine learning in exactly two sentences for a beginner.</x:t>
        </x:is>
      </x:c>
      <x:c r="D50" s="9" t="inlineStr">
        <x:is>
          <x:t xml:space="preserve">gpt-oss-120b</x:t>
        </x:is>
      </x:c>
      <x:c r="E50" s="9" t="inlineStr">
        <x:is>
          <x:t xml:space="preserve">Groq</x:t>
        </x:is>
      </x:c>
      <x:c r="F50" s="9" t="n"/>
      <x:c r="G50" s="9" t="n"/>
      <x:c r="H50" s="9" t="n"/>
      <x:c r="I50" s="9" t="n"/>
      <x:c r="J50" s="11" t="str">
        <x:f>IF(COUNT(F50:I50)=4,SUM(F50:I50),"")</x:f>
      </x:c>
      <x:c r="K50" s="10" t="inlineStr">
        <x:is>
          <x:t xml:space="preserve"/>
        </x:is>
      </x:c>
      <x:c r="L50" s="10" t="inlineStr">
        <x:is>
          <x:t xml:space="preserve">Not recorded in this chat</x:t>
        </x:is>
      </x:c>
    </x:row>
    <x:row r="51">
      <x:c r="A51" s="9" t="n">
        <x:v>12</x:v>
      </x:c>
      <x:c r="B51" s="10" t="inlineStr">
        <x:is>
          <x:t xml:space="preserve">Instruction following</x:t>
        </x:is>
      </x:c>
      <x:c r="C51" s="10" t="inlineStr">
        <x:is>
          <x:t xml:space="preserve">Explain machine learning in exactly two sentences for a beginner.</x:t>
        </x:is>
      </x:c>
      <x:c r="D51" s="9" t="inlineStr">
        <x:is>
          <x:t xml:space="preserve">Qwen 3.8 27B (Preview)</x:t>
        </x:is>
      </x:c>
      <x:c r="E51" s="9" t="inlineStr">
        <x:is>
          <x:t xml:space="preserve">Groq</x:t>
        </x:is>
      </x:c>
      <x:c r="F51" s="9" t="n"/>
      <x:c r="G51" s="9" t="n"/>
      <x:c r="H51" s="9" t="n"/>
      <x:c r="I51" s="9" t="n"/>
      <x:c r="J51" s="11" t="str">
        <x:f>IF(COUNT(F51:I51)=4,SUM(F51:I51),"")</x:f>
      </x:c>
      <x:c r="K51" s="10" t="inlineStr">
        <x:is>
          <x:t xml:space="preserve"/>
        </x:is>
      </x:c>
      <x:c r="L51" s="10" t="inlineStr">
        <x:is>
          <x:t xml:space="preserve">Not recorded in this chat</x:t>
        </x:is>
      </x:c>
    </x:row>
    <x:row r="52">
      <x:c r="A52" s="9" t="n">
        <x:v>12</x:v>
      </x:c>
      <x:c r="B52" s="10" t="inlineStr">
        <x:is>
          <x:t xml:space="preserve">Instruction following</x:t>
        </x:is>
      </x:c>
      <x:c r="C52" s="10" t="inlineStr">
        <x:is>
          <x:t xml:space="preserve">Explain machine learning in exactly two sentences for a beginner.</x:t>
        </x:is>
      </x:c>
      <x:c r="D52" s="9" t="inlineStr">
        <x:is>
          <x:t xml:space="preserve">Gemma 4 31B</x:t>
        </x:is>
      </x:c>
      <x:c r="E52" s="9" t="inlineStr">
        <x:is>
          <x:t xml:space="preserve">Google AI Studio</x:t>
        </x:is>
      </x:c>
      <x:c r="F52" s="9" t="n"/>
      <x:c r="G52" s="9" t="n"/>
      <x:c r="H52" s="9" t="n"/>
      <x:c r="I52" s="9" t="n"/>
      <x:c r="J52" s="11" t="str">
        <x:f>IF(COUNT(F52:I52)=4,SUM(F52:I52),"")</x:f>
      </x:c>
      <x:c r="K52" s="10" t="inlineStr">
        <x:is>
          <x:t xml:space="preserve"/>
        </x:is>
      </x:c>
      <x:c r="L52" s="10" t="inlineStr">
        <x:is>
          <x:t xml:space="preserve">Not recorded in this chat</x:t>
        </x:is>
      </x:c>
    </x:row>
    <x:row r="53">
      <x:c r="A53" s="9" t="n">
        <x:v>13</x:v>
      </x:c>
      <x:c r="B53" s="10" t="inlineStr">
        <x:is>
          <x:t xml:space="preserve">Instruction following</x:t>
        </x:is>
      </x:c>
      <x:c r="C53" s="10" t="inlineStr">
        <x:is>
          <x:t xml:space="preserve">Return only valid JSON with the keys name, language, and purpose for a Python calculator program. Do not include Markdown.</x:t>
        </x:is>
      </x:c>
      <x:c r="D53" s="9" t="inlineStr">
        <x:is>
          <x:t xml:space="preserve">gpt-oss-20b</x:t>
        </x:is>
      </x:c>
      <x:c r="E53" s="9" t="inlineStr">
        <x:is>
          <x:t xml:space="preserve">Groq</x:t>
        </x:is>
      </x:c>
      <x:c r="F53" s="9" t="n"/>
      <x:c r="G53" s="9" t="n"/>
      <x:c r="H53" s="9" t="n"/>
      <x:c r="I53" s="9" t="n"/>
      <x:c r="J53" s="11" t="str">
        <x:f>IF(COUNT(F53:I53)=4,SUM(F53:I53),"")</x:f>
      </x:c>
      <x:c r="K53" s="10" t="inlineStr">
        <x:is>
          <x:t xml:space="preserve"/>
        </x:is>
      </x:c>
      <x:c r="L53" s="10" t="inlineStr">
        <x:is>
          <x:t xml:space="preserve">Not recorded in this chat</x:t>
        </x:is>
      </x:c>
    </x:row>
    <x:row r="54">
      <x:c r="A54" s="9" t="n">
        <x:v>13</x:v>
      </x:c>
      <x:c r="B54" s="10" t="inlineStr">
        <x:is>
          <x:t xml:space="preserve">Instruction following</x:t>
        </x:is>
      </x:c>
      <x:c r="C54" s="10" t="inlineStr">
        <x:is>
          <x:t xml:space="preserve">Return only valid JSON with the keys name, language, and purpose for a Python calculator program. Do not include Markdown.</x:t>
        </x:is>
      </x:c>
      <x:c r="D54" s="9" t="inlineStr">
        <x:is>
          <x:t xml:space="preserve">gpt-oss-120b</x:t>
        </x:is>
      </x:c>
      <x:c r="E54" s="9" t="inlineStr">
        <x:is>
          <x:t xml:space="preserve">Groq</x:t>
        </x:is>
      </x:c>
      <x:c r="F54" s="9" t="n"/>
      <x:c r="G54" s="9" t="n"/>
      <x:c r="H54" s="9" t="n"/>
      <x:c r="I54" s="9" t="n"/>
      <x:c r="J54" s="11" t="str">
        <x:f>IF(COUNT(F54:I54)=4,SUM(F54:I54),"")</x:f>
      </x:c>
      <x:c r="K54" s="10" t="inlineStr">
        <x:is>
          <x:t xml:space="preserve"/>
        </x:is>
      </x:c>
      <x:c r="L54" s="10" t="inlineStr">
        <x:is>
          <x:t xml:space="preserve">Not recorded in this chat</x:t>
        </x:is>
      </x:c>
    </x:row>
    <x:row r="55">
      <x:c r="A55" s="9" t="n">
        <x:v>13</x:v>
      </x:c>
      <x:c r="B55" s="10" t="inlineStr">
        <x:is>
          <x:t xml:space="preserve">Instruction following</x:t>
        </x:is>
      </x:c>
      <x:c r="C55" s="10" t="inlineStr">
        <x:is>
          <x:t xml:space="preserve">Return only valid JSON with the keys name, language, and purpose for a Python calculator program. Do not include Markdown.</x:t>
        </x:is>
      </x:c>
      <x:c r="D55" s="9" t="inlineStr">
        <x:is>
          <x:t xml:space="preserve">Qwen 3.8 27B (Preview)</x:t>
        </x:is>
      </x:c>
      <x:c r="E55" s="9" t="inlineStr">
        <x:is>
          <x:t xml:space="preserve">Groq</x:t>
        </x:is>
      </x:c>
      <x:c r="F55" s="9" t="n"/>
      <x:c r="G55" s="9" t="n"/>
      <x:c r="H55" s="9" t="n"/>
      <x:c r="I55" s="9" t="n"/>
      <x:c r="J55" s="11" t="str">
        <x:f>IF(COUNT(F55:I55)=4,SUM(F55:I55),"")</x:f>
      </x:c>
      <x:c r="K55" s="10" t="inlineStr">
        <x:is>
          <x:t xml:space="preserve"/>
        </x:is>
      </x:c>
      <x:c r="L55" s="10" t="inlineStr">
        <x:is>
          <x:t xml:space="preserve">Not recorded in this chat</x:t>
        </x:is>
      </x:c>
    </x:row>
    <x:row r="56">
      <x:c r="A56" s="9" t="n">
        <x:v>13</x:v>
      </x:c>
      <x:c r="B56" s="10" t="inlineStr">
        <x:is>
          <x:t xml:space="preserve">Instruction following</x:t>
        </x:is>
      </x:c>
      <x:c r="C56" s="10" t="inlineStr">
        <x:is>
          <x:t xml:space="preserve">Return only valid JSON with the keys name, language, and purpose for a Python calculator program. Do not include Markdown.</x:t>
        </x:is>
      </x:c>
      <x:c r="D56" s="9" t="inlineStr">
        <x:is>
          <x:t xml:space="preserve">Gemma 4 31B</x:t>
        </x:is>
      </x:c>
      <x:c r="E56" s="9" t="inlineStr">
        <x:is>
          <x:t xml:space="preserve">Google AI Studio</x:t>
        </x:is>
      </x:c>
      <x:c r="F56" s="9" t="n"/>
      <x:c r="G56" s="9" t="n"/>
      <x:c r="H56" s="9" t="n"/>
      <x:c r="I56" s="9" t="n"/>
      <x:c r="J56" s="11" t="str">
        <x:f>IF(COUNT(F56:I56)=4,SUM(F56:I56),"")</x:f>
      </x:c>
      <x:c r="K56" s="10" t="inlineStr">
        <x:is>
          <x:t xml:space="preserve"/>
        </x:is>
      </x:c>
      <x:c r="L56" s="10" t="inlineStr">
        <x:is>
          <x:t xml:space="preserve">Not recorded in this chat</x:t>
        </x:is>
      </x:c>
    </x:row>
    <x:row r="57">
      <x:c r="A57" s="9" t="n">
        <x:v>14</x:v>
      </x:c>
      <x:c r="B57" s="10" t="inlineStr">
        <x:is>
          <x:t xml:space="preserve">Instruction following</x:t>
        </x:is>
      </x:c>
      <x:c r="C57" s="10" t="inlineStr">
        <x:is>
          <x:t xml:space="preserve">Explain three differences between RAM and storage in a table with exactly three rows and two comparison columns.</x:t>
        </x:is>
      </x:c>
      <x:c r="D57" s="9" t="inlineStr">
        <x:is>
          <x:t xml:space="preserve">gpt-oss-20b</x:t>
        </x:is>
      </x:c>
      <x:c r="E57" s="9" t="inlineStr">
        <x:is>
          <x:t xml:space="preserve">Groq</x:t>
        </x:is>
      </x:c>
      <x:c r="F57" s="9" t="n"/>
      <x:c r="G57" s="9" t="n"/>
      <x:c r="H57" s="9" t="n"/>
      <x:c r="I57" s="9" t="n"/>
      <x:c r="J57" s="11" t="str">
        <x:f>IF(COUNT(F57:I57)=4,SUM(F57:I57),"")</x:f>
      </x:c>
      <x:c r="K57" s="10" t="inlineStr">
        <x:is>
          <x:t xml:space="preserve"/>
        </x:is>
      </x:c>
      <x:c r="L57" s="10" t="inlineStr">
        <x:is>
          <x:t xml:space="preserve">Not recorded in this chat</x:t>
        </x:is>
      </x:c>
    </x:row>
    <x:row r="58">
      <x:c r="A58" s="9" t="n">
        <x:v>14</x:v>
      </x:c>
      <x:c r="B58" s="10" t="inlineStr">
        <x:is>
          <x:t xml:space="preserve">Instruction following</x:t>
        </x:is>
      </x:c>
      <x:c r="C58" s="10" t="inlineStr">
        <x:is>
          <x:t xml:space="preserve">Explain three differences between RAM and storage in a table with exactly three rows and two comparison columns.</x:t>
        </x:is>
      </x:c>
      <x:c r="D58" s="9" t="inlineStr">
        <x:is>
          <x:t xml:space="preserve">gpt-oss-120b</x:t>
        </x:is>
      </x:c>
      <x:c r="E58" s="9" t="inlineStr">
        <x:is>
          <x:t xml:space="preserve">Groq</x:t>
        </x:is>
      </x:c>
      <x:c r="F58" s="9" t="n"/>
      <x:c r="G58" s="9" t="n"/>
      <x:c r="H58" s="9" t="n"/>
      <x:c r="I58" s="9" t="n"/>
      <x:c r="J58" s="11" t="str">
        <x:f>IF(COUNT(F58:I58)=4,SUM(F58:I58),"")</x:f>
      </x:c>
      <x:c r="K58" s="10" t="inlineStr">
        <x:is>
          <x:t xml:space="preserve"/>
        </x:is>
      </x:c>
      <x:c r="L58" s="10" t="inlineStr">
        <x:is>
          <x:t xml:space="preserve">Not recorded in this chat</x:t>
        </x:is>
      </x:c>
    </x:row>
    <x:row r="59">
      <x:c r="A59" s="9" t="n">
        <x:v>14</x:v>
      </x:c>
      <x:c r="B59" s="10" t="inlineStr">
        <x:is>
          <x:t xml:space="preserve">Instruction following</x:t>
        </x:is>
      </x:c>
      <x:c r="C59" s="10" t="inlineStr">
        <x:is>
          <x:t xml:space="preserve">Explain three differences between RAM and storage in a table with exactly three rows and two comparison columns.</x:t>
        </x:is>
      </x:c>
      <x:c r="D59" s="9" t="inlineStr">
        <x:is>
          <x:t xml:space="preserve">Qwen 3.8 27B (Preview)</x:t>
        </x:is>
      </x:c>
      <x:c r="E59" s="9" t="inlineStr">
        <x:is>
          <x:t xml:space="preserve">Groq</x:t>
        </x:is>
      </x:c>
      <x:c r="F59" s="9" t="n"/>
      <x:c r="G59" s="9" t="n"/>
      <x:c r="H59" s="9" t="n"/>
      <x:c r="I59" s="9" t="n"/>
      <x:c r="J59" s="11" t="str">
        <x:f>IF(COUNT(F59:I59)=4,SUM(F59:I59),"")</x:f>
      </x:c>
      <x:c r="K59" s="10" t="inlineStr">
        <x:is>
          <x:t xml:space="preserve"/>
        </x:is>
      </x:c>
      <x:c r="L59" s="10" t="inlineStr">
        <x:is>
          <x:t xml:space="preserve">Not recorded in this chat</x:t>
        </x:is>
      </x:c>
    </x:row>
    <x:row r="60">
      <x:c r="A60" s="9" t="n">
        <x:v>14</x:v>
      </x:c>
      <x:c r="B60" s="10" t="inlineStr">
        <x:is>
          <x:t xml:space="preserve">Instruction following</x:t>
        </x:is>
      </x:c>
      <x:c r="C60" s="10" t="inlineStr">
        <x:is>
          <x:t xml:space="preserve">Explain three differences between RAM and storage in a table with exactly three rows and two comparison columns.</x:t>
        </x:is>
      </x:c>
      <x:c r="D60" s="9" t="inlineStr">
        <x:is>
          <x:t xml:space="preserve">Gemma 4 31B</x:t>
        </x:is>
      </x:c>
      <x:c r="E60" s="9" t="inlineStr">
        <x:is>
          <x:t xml:space="preserve">Google AI Studio</x:t>
        </x:is>
      </x:c>
      <x:c r="F60" s="9" t="n"/>
      <x:c r="G60" s="9" t="n"/>
      <x:c r="H60" s="9" t="n"/>
      <x:c r="I60" s="9" t="n"/>
      <x:c r="J60" s="11" t="str">
        <x:f>IF(COUNT(F60:I60)=4,SUM(F60:I60),"")</x:f>
      </x:c>
      <x:c r="K60" s="10" t="inlineStr">
        <x:is>
          <x:t xml:space="preserve"/>
        </x:is>
      </x:c>
      <x:c r="L60" s="10" t="inlineStr">
        <x:is>
          <x:t xml:space="preserve">Not recorded in this chat</x:t>
        </x:is>
      </x:c>
    </x:row>
    <x:row r="61">
      <x:c r="A61" s="9" t="n">
        <x:v>15</x:v>
      </x:c>
      <x:c r="B61" s="10" t="inlineStr">
        <x:is>
          <x:t xml:space="preserve">Instruction following</x:t>
        </x:is>
      </x:c>
      <x:c r="C61" s="10" t="inlineStr">
        <x:is>
          <x:t xml:space="preserve">Explain what an API is using exactly 20 words. Count the words carefully.</x:t>
        </x:is>
      </x:c>
      <x:c r="D61" s="9" t="inlineStr">
        <x:is>
          <x:t xml:space="preserve">gpt-oss-20b</x:t>
        </x:is>
      </x:c>
      <x:c r="E61" s="9" t="inlineStr">
        <x:is>
          <x:t xml:space="preserve">Groq</x:t>
        </x:is>
      </x:c>
      <x:c r="F61" s="9" t="n"/>
      <x:c r="G61" s="9" t="n"/>
      <x:c r="H61" s="9" t="n"/>
      <x:c r="I61" s="9" t="n"/>
      <x:c r="J61" s="11" t="str">
        <x:f>IF(COUNT(F61:I61)=4,SUM(F61:I61),"")</x:f>
      </x:c>
      <x:c r="K61" s="10" t="inlineStr">
        <x:is>
          <x:t xml:space="preserve"/>
        </x:is>
      </x:c>
      <x:c r="L61" s="10" t="inlineStr">
        <x:is>
          <x:t xml:space="preserve">Not recorded in this chat</x:t>
        </x:is>
      </x:c>
    </x:row>
    <x:row r="62">
      <x:c r="A62" s="9" t="n">
        <x:v>15</x:v>
      </x:c>
      <x:c r="B62" s="10" t="inlineStr">
        <x:is>
          <x:t xml:space="preserve">Instruction following</x:t>
        </x:is>
      </x:c>
      <x:c r="C62" s="10" t="inlineStr">
        <x:is>
          <x:t xml:space="preserve">Explain what an API is using exactly 20 words. Count the words carefully.</x:t>
        </x:is>
      </x:c>
      <x:c r="D62" s="9" t="inlineStr">
        <x:is>
          <x:t xml:space="preserve">gpt-oss-120b</x:t>
        </x:is>
      </x:c>
      <x:c r="E62" s="9" t="inlineStr">
        <x:is>
          <x:t xml:space="preserve">Groq</x:t>
        </x:is>
      </x:c>
      <x:c r="F62" s="9" t="n"/>
      <x:c r="G62" s="9" t="n"/>
      <x:c r="H62" s="9" t="n"/>
      <x:c r="I62" s="9" t="n"/>
      <x:c r="J62" s="11" t="str">
        <x:f>IF(COUNT(F62:I62)=4,SUM(F62:I62),"")</x:f>
      </x:c>
      <x:c r="K62" s="10" t="inlineStr">
        <x:is>
          <x:t xml:space="preserve"/>
        </x:is>
      </x:c>
      <x:c r="L62" s="10" t="inlineStr">
        <x:is>
          <x:t xml:space="preserve">Not recorded in this chat</x:t>
        </x:is>
      </x:c>
    </x:row>
    <x:row r="63">
      <x:c r="A63" s="9" t="n">
        <x:v>15</x:v>
      </x:c>
      <x:c r="B63" s="10" t="inlineStr">
        <x:is>
          <x:t xml:space="preserve">Instruction following</x:t>
        </x:is>
      </x:c>
      <x:c r="C63" s="10" t="inlineStr">
        <x:is>
          <x:t xml:space="preserve">Explain what an API is using exactly 20 words. Count the words carefully.</x:t>
        </x:is>
      </x:c>
      <x:c r="D63" s="9" t="inlineStr">
        <x:is>
          <x:t xml:space="preserve">Qwen 3.8 27B (Preview)</x:t>
        </x:is>
      </x:c>
      <x:c r="E63" s="9" t="inlineStr">
        <x:is>
          <x:t xml:space="preserve">Groq</x:t>
        </x:is>
      </x:c>
      <x:c r="F63" s="9" t="n"/>
      <x:c r="G63" s="9" t="n"/>
      <x:c r="H63" s="9" t="n"/>
      <x:c r="I63" s="9" t="n"/>
      <x:c r="J63" s="11" t="str">
        <x:f>IF(COUNT(F63:I63)=4,SUM(F63:I63),"")</x:f>
      </x:c>
      <x:c r="K63" s="10" t="inlineStr">
        <x:is>
          <x:t xml:space="preserve"/>
        </x:is>
      </x:c>
      <x:c r="L63" s="10" t="inlineStr">
        <x:is>
          <x:t xml:space="preserve">Not recorded in this chat</x:t>
        </x:is>
      </x:c>
    </x:row>
    <x:row r="64">
      <x:c r="A64" s="9" t="n">
        <x:v>15</x:v>
      </x:c>
      <x:c r="B64" s="10" t="inlineStr">
        <x:is>
          <x:t xml:space="preserve">Instruction following</x:t>
        </x:is>
      </x:c>
      <x:c r="C64" s="10" t="inlineStr">
        <x:is>
          <x:t xml:space="preserve">Explain what an API is using exactly 20 words. Count the words carefully.</x:t>
        </x:is>
      </x:c>
      <x:c r="D64" s="9" t="inlineStr">
        <x:is>
          <x:t xml:space="preserve">Gemma 4 31B</x:t>
        </x:is>
      </x:c>
      <x:c r="E64" s="9" t="inlineStr">
        <x:is>
          <x:t xml:space="preserve">Google AI Studio</x:t>
        </x:is>
      </x:c>
      <x:c r="F64" s="9" t="n"/>
      <x:c r="G64" s="9" t="n"/>
      <x:c r="H64" s="9" t="n"/>
      <x:c r="I64" s="9" t="n"/>
      <x:c r="J64" s="11" t="str">
        <x:f>IF(COUNT(F64:I64)=4,SUM(F64:I64),"")</x:f>
      </x:c>
      <x:c r="K64" s="10" t="inlineStr">
        <x:is>
          <x:t xml:space="preserve"/>
        </x:is>
      </x:c>
      <x:c r="L64" s="10" t="inlineStr">
        <x:is>
          <x:t xml:space="preserve">Not recorded in this chat</x:t>
        </x:is>
      </x:c>
    </x:row>
    <x:row r="65">
      <x:c r="A65" s="9" t="n">
        <x:v>16</x:v>
      </x:c>
      <x:c r="B65" s="10" t="inlineStr">
        <x:is>
          <x:t xml:space="preserve">Coding</x:t>
        </x:is>
      </x:c>
      <x:c r="C65" s="10" t="inlineStr">
        <x:is>
          <x:t xml:space="preserve">Write a Python function that returns the sum of all numbers in a list. Include one example.</x:t>
        </x:is>
      </x:c>
      <x:c r="D65" s="9" t="inlineStr">
        <x:is>
          <x:t xml:space="preserve">gpt-oss-20b</x:t>
        </x:is>
      </x:c>
      <x:c r="E65" s="9" t="inlineStr">
        <x:is>
          <x:t xml:space="preserve">Groq</x:t>
        </x:is>
      </x:c>
      <x:c r="F65" s="9" t="n"/>
      <x:c r="G65" s="9" t="n"/>
      <x:c r="H65" s="9" t="n"/>
      <x:c r="I65" s="9" t="n"/>
      <x:c r="J65" s="11" t="str">
        <x:f>IF(COUNT(F65:I65)=4,SUM(F65:I65),"")</x:f>
      </x:c>
      <x:c r="K65" s="10" t="inlineStr">
        <x:is>
          <x:t xml:space="preserve"/>
        </x:is>
      </x:c>
      <x:c r="L65" s="10" t="inlineStr">
        <x:is>
          <x:t xml:space="preserve">Not recorded in this chat</x:t>
        </x:is>
      </x:c>
    </x:row>
    <x:row r="66">
      <x:c r="A66" s="9" t="n">
        <x:v>16</x:v>
      </x:c>
      <x:c r="B66" s="10" t="inlineStr">
        <x:is>
          <x:t xml:space="preserve">Coding</x:t>
        </x:is>
      </x:c>
      <x:c r="C66" s="10" t="inlineStr">
        <x:is>
          <x:t xml:space="preserve">Write a Python function that returns the sum of all numbers in a list. Include one example.</x:t>
        </x:is>
      </x:c>
      <x:c r="D66" s="9" t="inlineStr">
        <x:is>
          <x:t xml:space="preserve">gpt-oss-120b</x:t>
        </x:is>
      </x:c>
      <x:c r="E66" s="9" t="inlineStr">
        <x:is>
          <x:t xml:space="preserve">Groq</x:t>
        </x:is>
      </x:c>
      <x:c r="F66" s="9" t="n"/>
      <x:c r="G66" s="9" t="n"/>
      <x:c r="H66" s="9" t="n"/>
      <x:c r="I66" s="9" t="n"/>
      <x:c r="J66" s="11" t="str">
        <x:f>IF(COUNT(F66:I66)=4,SUM(F66:I66),"")</x:f>
      </x:c>
      <x:c r="K66" s="10" t="inlineStr">
        <x:is>
          <x:t xml:space="preserve"/>
        </x:is>
      </x:c>
      <x:c r="L66" s="10" t="inlineStr">
        <x:is>
          <x:t xml:space="preserve">Not recorded in this chat</x:t>
        </x:is>
      </x:c>
    </x:row>
    <x:row r="67">
      <x:c r="A67" s="9" t="n">
        <x:v>16</x:v>
      </x:c>
      <x:c r="B67" s="10" t="inlineStr">
        <x:is>
          <x:t xml:space="preserve">Coding</x:t>
        </x:is>
      </x:c>
      <x:c r="C67" s="10" t="inlineStr">
        <x:is>
          <x:t xml:space="preserve">Write a Python function that returns the sum of all numbers in a list. Include one example.</x:t>
        </x:is>
      </x:c>
      <x:c r="D67" s="9" t="inlineStr">
        <x:is>
          <x:t xml:space="preserve">Qwen 3.8 27B (Preview)</x:t>
        </x:is>
      </x:c>
      <x:c r="E67" s="9" t="inlineStr">
        <x:is>
          <x:t xml:space="preserve">Groq</x:t>
        </x:is>
      </x:c>
      <x:c r="F67" s="9" t="n"/>
      <x:c r="G67" s="9" t="n"/>
      <x:c r="H67" s="9" t="n"/>
      <x:c r="I67" s="9" t="n"/>
      <x:c r="J67" s="11" t="str">
        <x:f>IF(COUNT(F67:I67)=4,SUM(F67:I67),"")</x:f>
      </x:c>
      <x:c r="K67" s="10" t="inlineStr">
        <x:is>
          <x:t xml:space="preserve"/>
        </x:is>
      </x:c>
      <x:c r="L67" s="10" t="inlineStr">
        <x:is>
          <x:t xml:space="preserve">Not recorded in this chat</x:t>
        </x:is>
      </x:c>
    </x:row>
    <x:row r="68">
      <x:c r="A68" s="9" t="n">
        <x:v>16</x:v>
      </x:c>
      <x:c r="B68" s="10" t="inlineStr">
        <x:is>
          <x:t xml:space="preserve">Coding</x:t>
        </x:is>
      </x:c>
      <x:c r="C68" s="10" t="inlineStr">
        <x:is>
          <x:t xml:space="preserve">Write a Python function that returns the sum of all numbers in a list. Include one example.</x:t>
        </x:is>
      </x:c>
      <x:c r="D68" s="9" t="inlineStr">
        <x:is>
          <x:t xml:space="preserve">Gemma 4 31B</x:t>
        </x:is>
      </x:c>
      <x:c r="E68" s="9" t="inlineStr">
        <x:is>
          <x:t xml:space="preserve">Google AI Studio</x:t>
        </x:is>
      </x:c>
      <x:c r="F68" s="9" t="n"/>
      <x:c r="G68" s="9" t="n"/>
      <x:c r="H68" s="9" t="n"/>
      <x:c r="I68" s="9" t="n"/>
      <x:c r="J68" s="11" t="str">
        <x:f>IF(COUNT(F68:I68)=4,SUM(F68:I68),"")</x:f>
      </x:c>
      <x:c r="K68" s="10" t="inlineStr">
        <x:is>
          <x:t xml:space="preserve"/>
        </x:is>
      </x:c>
      <x:c r="L68" s="10" t="inlineStr">
        <x:is>
          <x:t xml:space="preserve">Not recorded in this chat</x:t>
        </x:is>
      </x:c>
    </x:row>
    <x:row r="69">
      <x:c r="A69" s="9" t="n">
        <x:v>17</x:v>
      </x:c>
      <x:c r="B69" s="10" t="inlineStr">
        <x:is>
          <x:t xml:space="preserve">Coding</x:t>
        </x:is>
      </x:c>
      <x:c r="C69" s="10" t="inlineStr">
        <x:is>
          <x:t xml:space="preserve">Write a Python function to reverse a string without using slicing. Explain the logic.</x:t>
        </x:is>
      </x:c>
      <x:c r="D69" s="9" t="inlineStr">
        <x:is>
          <x:t xml:space="preserve">gpt-oss-20b</x:t>
        </x:is>
      </x:c>
      <x:c r="E69" s="9" t="inlineStr">
        <x:is>
          <x:t xml:space="preserve">Groq</x:t>
        </x:is>
      </x:c>
      <x:c r="F69" s="9" t="n"/>
      <x:c r="G69" s="9" t="n"/>
      <x:c r="H69" s="9" t="n"/>
      <x:c r="I69" s="9" t="n"/>
      <x:c r="J69" s="11" t="str">
        <x:f>IF(COUNT(F69:I69)=4,SUM(F69:I69),"")</x:f>
      </x:c>
      <x:c r="K69" s="10" t="inlineStr">
        <x:is>
          <x:t xml:space="preserve"/>
        </x:is>
      </x:c>
      <x:c r="L69" s="10" t="inlineStr">
        <x:is>
          <x:t xml:space="preserve">Not recorded in this chat</x:t>
        </x:is>
      </x:c>
    </x:row>
    <x:row r="70">
      <x:c r="A70" s="9" t="n">
        <x:v>17</x:v>
      </x:c>
      <x:c r="B70" s="10" t="inlineStr">
        <x:is>
          <x:t xml:space="preserve">Coding</x:t>
        </x:is>
      </x:c>
      <x:c r="C70" s="10" t="inlineStr">
        <x:is>
          <x:t xml:space="preserve">Write a Python function to reverse a string without using slicing. Explain the logic.</x:t>
        </x:is>
      </x:c>
      <x:c r="D70" s="9" t="inlineStr">
        <x:is>
          <x:t xml:space="preserve">gpt-oss-120b</x:t>
        </x:is>
      </x:c>
      <x:c r="E70" s="9" t="inlineStr">
        <x:is>
          <x:t xml:space="preserve">Groq</x:t>
        </x:is>
      </x:c>
      <x:c r="F70" s="9" t="n"/>
      <x:c r="G70" s="9" t="n"/>
      <x:c r="H70" s="9" t="n"/>
      <x:c r="I70" s="9" t="n"/>
      <x:c r="J70" s="11" t="str">
        <x:f>IF(COUNT(F70:I70)=4,SUM(F70:I70),"")</x:f>
      </x:c>
      <x:c r="K70" s="10" t="inlineStr">
        <x:is>
          <x:t xml:space="preserve"/>
        </x:is>
      </x:c>
      <x:c r="L70" s="10" t="inlineStr">
        <x:is>
          <x:t xml:space="preserve">Not recorded in this chat</x:t>
        </x:is>
      </x:c>
    </x:row>
    <x:row r="71">
      <x:c r="A71" s="9" t="n">
        <x:v>17</x:v>
      </x:c>
      <x:c r="B71" s="10" t="inlineStr">
        <x:is>
          <x:t xml:space="preserve">Coding</x:t>
        </x:is>
      </x:c>
      <x:c r="C71" s="10" t="inlineStr">
        <x:is>
          <x:t xml:space="preserve">Write a Python function to reverse a string without using slicing. Explain the logic.</x:t>
        </x:is>
      </x:c>
      <x:c r="D71" s="9" t="inlineStr">
        <x:is>
          <x:t xml:space="preserve">Qwen 3.8 27B (Preview)</x:t>
        </x:is>
      </x:c>
      <x:c r="E71" s="9" t="inlineStr">
        <x:is>
          <x:t xml:space="preserve">Groq</x:t>
        </x:is>
      </x:c>
      <x:c r="F71" s="9" t="n"/>
      <x:c r="G71" s="9" t="n"/>
      <x:c r="H71" s="9" t="n"/>
      <x:c r="I71" s="9" t="n"/>
      <x:c r="J71" s="11" t="str">
        <x:f>IF(COUNT(F71:I71)=4,SUM(F71:I71),"")</x:f>
      </x:c>
      <x:c r="K71" s="10" t="inlineStr">
        <x:is>
          <x:t xml:space="preserve"/>
        </x:is>
      </x:c>
      <x:c r="L71" s="10" t="inlineStr">
        <x:is>
          <x:t xml:space="preserve">Not recorded in this chat</x:t>
        </x:is>
      </x:c>
    </x:row>
    <x:row r="72">
      <x:c r="A72" s="9" t="n">
        <x:v>17</x:v>
      </x:c>
      <x:c r="B72" s="10" t="inlineStr">
        <x:is>
          <x:t xml:space="preserve">Coding</x:t>
        </x:is>
      </x:c>
      <x:c r="C72" s="10" t="inlineStr">
        <x:is>
          <x:t xml:space="preserve">Write a Python function to reverse a string without using slicing. Explain the logic.</x:t>
        </x:is>
      </x:c>
      <x:c r="D72" s="9" t="inlineStr">
        <x:is>
          <x:t xml:space="preserve">Gemma 4 31B</x:t>
        </x:is>
      </x:c>
      <x:c r="E72" s="9" t="inlineStr">
        <x:is>
          <x:t xml:space="preserve">Google AI Studio</x:t>
        </x:is>
      </x:c>
      <x:c r="F72" s="9" t="n"/>
      <x:c r="G72" s="9" t="n"/>
      <x:c r="H72" s="9" t="n"/>
      <x:c r="I72" s="9" t="n"/>
      <x:c r="J72" s="11" t="str">
        <x:f>IF(COUNT(F72:I72)=4,SUM(F72:I72),"")</x:f>
      </x:c>
      <x:c r="K72" s="10" t="inlineStr">
        <x:is>
          <x:t xml:space="preserve"/>
        </x:is>
      </x:c>
      <x:c r="L72" s="10" t="inlineStr">
        <x:is>
          <x:t xml:space="preserve">Not recorded in this chat</x:t>
        </x:is>
      </x:c>
    </x:row>
    <x:row r="73">
      <x:c r="A73" s="9" t="n">
        <x:v>18</x:v>
      </x:c>
      <x:c r="B73" s="10" t="inlineStr">
        <x:is>
          <x:t xml:space="preserve">Coding</x:t>
        </x:is>
      </x:c>
      <x:c r="C73" s="10" t="inlineStr">
        <x:is>
          <x:t xml:space="preserve">Write a Python function that returns the second-largest distinct number in a list. Explain how it handles duplicates.</x:t>
        </x:is>
      </x:c>
      <x:c r="D73" s="9" t="inlineStr">
        <x:is>
          <x:t xml:space="preserve">gpt-oss-20b</x:t>
        </x:is>
      </x:c>
      <x:c r="E73" s="9" t="inlineStr">
        <x:is>
          <x:t xml:space="preserve">Groq</x:t>
        </x:is>
      </x:c>
      <x:c r="F73" s="9" t="n"/>
      <x:c r="G73" s="9" t="n"/>
      <x:c r="H73" s="9" t="n"/>
      <x:c r="I73" s="9" t="n"/>
      <x:c r="J73" s="11" t="str">
        <x:f>IF(COUNT(F73:I73)=4,SUM(F73:I73),"")</x:f>
      </x:c>
      <x:c r="K73" s="10" t="inlineStr">
        <x:is>
          <x:t xml:space="preserve"/>
        </x:is>
      </x:c>
      <x:c r="L73" s="10" t="inlineStr">
        <x:is>
          <x:t xml:space="preserve">Not recorded in this chat</x:t>
        </x:is>
      </x:c>
    </x:row>
    <x:row r="74">
      <x:c r="A74" s="9" t="n">
        <x:v>18</x:v>
      </x:c>
      <x:c r="B74" s="10" t="inlineStr">
        <x:is>
          <x:t xml:space="preserve">Coding</x:t>
        </x:is>
      </x:c>
      <x:c r="C74" s="10" t="inlineStr">
        <x:is>
          <x:t xml:space="preserve">Write a Python function that returns the second-largest distinct number in a list. Explain how it handles duplicates.</x:t>
        </x:is>
      </x:c>
      <x:c r="D74" s="9" t="inlineStr">
        <x:is>
          <x:t xml:space="preserve">gpt-oss-120b</x:t>
        </x:is>
      </x:c>
      <x:c r="E74" s="9" t="inlineStr">
        <x:is>
          <x:t xml:space="preserve">Groq</x:t>
        </x:is>
      </x:c>
      <x:c r="F74" s="9" t="n"/>
      <x:c r="G74" s="9" t="n"/>
      <x:c r="H74" s="9" t="n"/>
      <x:c r="I74" s="9" t="n"/>
      <x:c r="J74" s="11" t="str">
        <x:f>IF(COUNT(F74:I74)=4,SUM(F74:I74),"")</x:f>
      </x:c>
      <x:c r="K74" s="10" t="inlineStr">
        <x:is>
          <x:t xml:space="preserve"/>
        </x:is>
      </x:c>
      <x:c r="L74" s="10" t="inlineStr">
        <x:is>
          <x:t xml:space="preserve">Not recorded in this chat</x:t>
        </x:is>
      </x:c>
    </x:row>
    <x:row r="75">
      <x:c r="A75" s="9" t="n">
        <x:v>18</x:v>
      </x:c>
      <x:c r="B75" s="10" t="inlineStr">
        <x:is>
          <x:t xml:space="preserve">Coding</x:t>
        </x:is>
      </x:c>
      <x:c r="C75" s="10" t="inlineStr">
        <x:is>
          <x:t xml:space="preserve">Write a Python function that returns the second-largest distinct number in a list. Explain how it handles duplicates.</x:t>
        </x:is>
      </x:c>
      <x:c r="D75" s="9" t="inlineStr">
        <x:is>
          <x:t xml:space="preserve">Qwen 3.8 27B (Preview)</x:t>
        </x:is>
      </x:c>
      <x:c r="E75" s="9" t="inlineStr">
        <x:is>
          <x:t xml:space="preserve">Groq</x:t>
        </x:is>
      </x:c>
      <x:c r="F75" s="9" t="n"/>
      <x:c r="G75" s="9" t="n"/>
      <x:c r="H75" s="9" t="n"/>
      <x:c r="I75" s="9" t="n"/>
      <x:c r="J75" s="11" t="str">
        <x:f>IF(COUNT(F75:I75)=4,SUM(F75:I75),"")</x:f>
      </x:c>
      <x:c r="K75" s="10" t="inlineStr">
        <x:is>
          <x:t xml:space="preserve"/>
        </x:is>
      </x:c>
      <x:c r="L75" s="10" t="inlineStr">
        <x:is>
          <x:t xml:space="preserve">Not recorded in this chat</x:t>
        </x:is>
      </x:c>
    </x:row>
    <x:row r="76">
      <x:c r="A76" s="9" t="n">
        <x:v>18</x:v>
      </x:c>
      <x:c r="B76" s="10" t="inlineStr">
        <x:is>
          <x:t xml:space="preserve">Coding</x:t>
        </x:is>
      </x:c>
      <x:c r="C76" s="10" t="inlineStr">
        <x:is>
          <x:t xml:space="preserve">Write a Python function that returns the second-largest distinct number in a list. Explain how it handles duplicates.</x:t>
        </x:is>
      </x:c>
      <x:c r="D76" s="9" t="inlineStr">
        <x:is>
          <x:t xml:space="preserve">Gemma 4 31B</x:t>
        </x:is>
      </x:c>
      <x:c r="E76" s="9" t="inlineStr">
        <x:is>
          <x:t xml:space="preserve">Google AI Studio</x:t>
        </x:is>
      </x:c>
      <x:c r="F76" s="9" t="n"/>
      <x:c r="G76" s="9" t="n"/>
      <x:c r="H76" s="9" t="n"/>
      <x:c r="I76" s="9" t="n"/>
      <x:c r="J76" s="11" t="str">
        <x:f>IF(COUNT(F76:I76)=4,SUM(F76:I76),"")</x:f>
      </x:c>
      <x:c r="K76" s="10" t="inlineStr">
        <x:is>
          <x:t xml:space="preserve"/>
        </x:is>
      </x:c>
      <x:c r="L76" s="10" t="inlineStr">
        <x:is>
          <x:t xml:space="preserve">Not recorded in this chat</x:t>
        </x:is>
      </x:c>
    </x:row>
    <x:row r="77">
      <x:c r="A77" s="9" t="n">
        <x:v>19</x:v>
      </x:c>
      <x:c r="B77" s="10" t="inlineStr">
        <x:is>
          <x:t xml:space="preserve">Coding</x:t>
        </x:is>
      </x:c>
      <x:c r="C77" s="10" t="inlineStr">
        <x:is>
          <x:t xml:space="preserve">What is the output of this Python code? x = 7; x //= 2; print(x). Explain why.</x:t>
        </x:is>
      </x:c>
      <x:c r="D77" s="9" t="inlineStr">
        <x:is>
          <x:t xml:space="preserve">gpt-oss-20b</x:t>
        </x:is>
      </x:c>
      <x:c r="E77" s="9" t="inlineStr">
        <x:is>
          <x:t xml:space="preserve">Groq</x:t>
        </x:is>
      </x:c>
      <x:c r="F77" s="9" t="n"/>
      <x:c r="G77" s="9" t="n"/>
      <x:c r="H77" s="9" t="n"/>
      <x:c r="I77" s="9" t="n"/>
      <x:c r="J77" s="11" t="str">
        <x:f>IF(COUNT(F77:I77)=4,SUM(F77:I77),"")</x:f>
      </x:c>
      <x:c r="K77" s="10" t="inlineStr">
        <x:is>
          <x:t xml:space="preserve"/>
        </x:is>
      </x:c>
      <x:c r="L77" s="10" t="inlineStr">
        <x:is>
          <x:t xml:space="preserve">Not recorded in this chat</x:t>
        </x:is>
      </x:c>
    </x:row>
    <x:row r="78">
      <x:c r="A78" s="9" t="n">
        <x:v>19</x:v>
      </x:c>
      <x:c r="B78" s="10" t="inlineStr">
        <x:is>
          <x:t xml:space="preserve">Coding</x:t>
        </x:is>
      </x:c>
      <x:c r="C78" s="10" t="inlineStr">
        <x:is>
          <x:t xml:space="preserve">What is the output of this Python code? x = 7; x //= 2; print(x). Explain why.</x:t>
        </x:is>
      </x:c>
      <x:c r="D78" s="9" t="inlineStr">
        <x:is>
          <x:t xml:space="preserve">gpt-oss-120b</x:t>
        </x:is>
      </x:c>
      <x:c r="E78" s="9" t="inlineStr">
        <x:is>
          <x:t xml:space="preserve">Groq</x:t>
        </x:is>
      </x:c>
      <x:c r="F78" s="9" t="n"/>
      <x:c r="G78" s="9" t="n"/>
      <x:c r="H78" s="9" t="n"/>
      <x:c r="I78" s="9" t="n"/>
      <x:c r="J78" s="11" t="str">
        <x:f>IF(COUNT(F78:I78)=4,SUM(F78:I78),"")</x:f>
      </x:c>
      <x:c r="K78" s="10" t="inlineStr">
        <x:is>
          <x:t xml:space="preserve"/>
        </x:is>
      </x:c>
      <x:c r="L78" s="10" t="inlineStr">
        <x:is>
          <x:t xml:space="preserve">Not recorded in this chat</x:t>
        </x:is>
      </x:c>
    </x:row>
    <x:row r="79">
      <x:c r="A79" s="9" t="n">
        <x:v>19</x:v>
      </x:c>
      <x:c r="B79" s="10" t="inlineStr">
        <x:is>
          <x:t xml:space="preserve">Coding</x:t>
        </x:is>
      </x:c>
      <x:c r="C79" s="10" t="inlineStr">
        <x:is>
          <x:t xml:space="preserve">What is the output of this Python code? x = 7; x //= 2; print(x). Explain why.</x:t>
        </x:is>
      </x:c>
      <x:c r="D79" s="9" t="inlineStr">
        <x:is>
          <x:t xml:space="preserve">Qwen 3.8 27B (Preview)</x:t>
        </x:is>
      </x:c>
      <x:c r="E79" s="9" t="inlineStr">
        <x:is>
          <x:t xml:space="preserve">Groq</x:t>
        </x:is>
      </x:c>
      <x:c r="F79" s="9" t="n"/>
      <x:c r="G79" s="9" t="n"/>
      <x:c r="H79" s="9" t="n"/>
      <x:c r="I79" s="9" t="n"/>
      <x:c r="J79" s="11" t="str">
        <x:f>IF(COUNT(F79:I79)=4,SUM(F79:I79),"")</x:f>
      </x:c>
      <x:c r="K79" s="10" t="inlineStr">
        <x:is>
          <x:t xml:space="preserve"/>
        </x:is>
      </x:c>
      <x:c r="L79" s="10" t="inlineStr">
        <x:is>
          <x:t xml:space="preserve">Not recorded in this chat</x:t>
        </x:is>
      </x:c>
    </x:row>
    <x:row r="80">
      <x:c r="A80" s="9" t="n">
        <x:v>19</x:v>
      </x:c>
      <x:c r="B80" s="10" t="inlineStr">
        <x:is>
          <x:t xml:space="preserve">Coding</x:t>
        </x:is>
      </x:c>
      <x:c r="C80" s="10" t="inlineStr">
        <x:is>
          <x:t xml:space="preserve">What is the output of this Python code? x = 7; x //= 2; print(x). Explain why.</x:t>
        </x:is>
      </x:c>
      <x:c r="D80" s="9" t="inlineStr">
        <x:is>
          <x:t xml:space="preserve">Gemma 4 31B</x:t>
        </x:is>
      </x:c>
      <x:c r="E80" s="9" t="inlineStr">
        <x:is>
          <x:t xml:space="preserve">Google AI Studio</x:t>
        </x:is>
      </x:c>
      <x:c r="F80" s="9" t="n"/>
      <x:c r="G80" s="9" t="n"/>
      <x:c r="H80" s="9" t="n"/>
      <x:c r="I80" s="9" t="n"/>
      <x:c r="J80" s="11" t="str">
        <x:f>IF(COUNT(F80:I80)=4,SUM(F80:I80),"")</x:f>
      </x:c>
      <x:c r="K80" s="10" t="inlineStr">
        <x:is>
          <x:t xml:space="preserve"/>
        </x:is>
      </x:c>
      <x:c r="L80" s="10" t="inlineStr">
        <x:is>
          <x:t xml:space="preserve">Not recorded in this chat</x:t>
        </x:is>
      </x:c>
    </x:row>
    <x:row r="81">
      <x:c r="A81" s="9" t="n">
        <x:v>20</x:v>
      </x:c>
      <x:c r="B81" s="10" t="inlineStr">
        <x:is>
          <x:t xml:space="preserve">Coding</x:t>
        </x:is>
      </x:c>
      <x:c r="C81" s="10" t="inlineStr">
        <x:is>
          <x:t xml:space="preserve">Write a Python function to check whether an integer is prime. Include tests for 1, 2, and 9.</x:t>
        </x:is>
      </x:c>
      <x:c r="D81" s="9" t="inlineStr">
        <x:is>
          <x:t xml:space="preserve">gpt-oss-20b</x:t>
        </x:is>
      </x:c>
      <x:c r="E81" s="9" t="inlineStr">
        <x:is>
          <x:t xml:space="preserve">Groq</x:t>
        </x:is>
      </x:c>
      <x:c r="F81" s="9" t="n"/>
      <x:c r="G81" s="9" t="n"/>
      <x:c r="H81" s="9" t="n"/>
      <x:c r="I81" s="9" t="n"/>
      <x:c r="J81" s="11" t="str">
        <x:f>IF(COUNT(F81:I81)=4,SUM(F81:I81),"")</x:f>
      </x:c>
      <x:c r="K81" s="10" t="inlineStr">
        <x:is>
          <x:t xml:space="preserve"/>
        </x:is>
      </x:c>
      <x:c r="L81" s="10" t="inlineStr">
        <x:is>
          <x:t xml:space="preserve">Not recorded in this chat</x:t>
        </x:is>
      </x:c>
    </x:row>
    <x:row r="82">
      <x:c r="A82" s="9" t="n">
        <x:v>20</x:v>
      </x:c>
      <x:c r="B82" s="10" t="inlineStr">
        <x:is>
          <x:t xml:space="preserve">Coding</x:t>
        </x:is>
      </x:c>
      <x:c r="C82" s="10" t="inlineStr">
        <x:is>
          <x:t xml:space="preserve">Write a Python function to check whether an integer is prime. Include tests for 1, 2, and 9.</x:t>
        </x:is>
      </x:c>
      <x:c r="D82" s="9" t="inlineStr">
        <x:is>
          <x:t xml:space="preserve">gpt-oss-120b</x:t>
        </x:is>
      </x:c>
      <x:c r="E82" s="9" t="inlineStr">
        <x:is>
          <x:t xml:space="preserve">Groq</x:t>
        </x:is>
      </x:c>
      <x:c r="F82" s="9" t="n"/>
      <x:c r="G82" s="9" t="n"/>
      <x:c r="H82" s="9" t="n"/>
      <x:c r="I82" s="9" t="n"/>
      <x:c r="J82" s="11" t="str">
        <x:f>IF(COUNT(F82:I82)=4,SUM(F82:I82),"")</x:f>
      </x:c>
      <x:c r="K82" s="10" t="inlineStr">
        <x:is>
          <x:t xml:space="preserve"/>
        </x:is>
      </x:c>
      <x:c r="L82" s="10" t="inlineStr">
        <x:is>
          <x:t xml:space="preserve">Not recorded in this chat</x:t>
        </x:is>
      </x:c>
    </x:row>
    <x:row r="83">
      <x:c r="A83" s="9" t="n">
        <x:v>20</x:v>
      </x:c>
      <x:c r="B83" s="10" t="inlineStr">
        <x:is>
          <x:t xml:space="preserve">Coding</x:t>
        </x:is>
      </x:c>
      <x:c r="C83" s="10" t="inlineStr">
        <x:is>
          <x:t xml:space="preserve">Write a Python function to check whether an integer is prime. Include tests for 1, 2, and 9.</x:t>
        </x:is>
      </x:c>
      <x:c r="D83" s="9" t="inlineStr">
        <x:is>
          <x:t xml:space="preserve">Qwen 3.8 27B (Preview)</x:t>
        </x:is>
      </x:c>
      <x:c r="E83" s="9" t="inlineStr">
        <x:is>
          <x:t xml:space="preserve">Groq</x:t>
        </x:is>
      </x:c>
      <x:c r="F83" s="9" t="n"/>
      <x:c r="G83" s="9" t="n"/>
      <x:c r="H83" s="9" t="n"/>
      <x:c r="I83" s="9" t="n"/>
      <x:c r="J83" s="11" t="str">
        <x:f>IF(COUNT(F83:I83)=4,SUM(F83:I83),"")</x:f>
      </x:c>
      <x:c r="K83" s="10" t="inlineStr">
        <x:is>
          <x:t xml:space="preserve"/>
        </x:is>
      </x:c>
      <x:c r="L83" s="10" t="inlineStr">
        <x:is>
          <x:t xml:space="preserve">Not recorded in this chat</x:t>
        </x:is>
      </x:c>
    </x:row>
    <x:row r="84">
      <x:c r="A84" s="9" t="n">
        <x:v>20</x:v>
      </x:c>
      <x:c r="B84" s="10" t="inlineStr">
        <x:is>
          <x:t xml:space="preserve">Coding</x:t>
        </x:is>
      </x:c>
      <x:c r="C84" s="10" t="inlineStr">
        <x:is>
          <x:t xml:space="preserve">Write a Python function to check whether an integer is prime. Include tests for 1, 2, and 9.</x:t>
        </x:is>
      </x:c>
      <x:c r="D84" s="9" t="inlineStr">
        <x:is>
          <x:t xml:space="preserve">Gemma 4 31B</x:t>
        </x:is>
      </x:c>
      <x:c r="E84" s="9" t="inlineStr">
        <x:is>
          <x:t xml:space="preserve">Google AI Studio</x:t>
        </x:is>
      </x:c>
      <x:c r="F84" s="9" t="n"/>
      <x:c r="G84" s="9" t="n"/>
      <x:c r="H84" s="9" t="n"/>
      <x:c r="I84" s="9" t="n"/>
      <x:c r="J84" s="11" t="str">
        <x:f>IF(COUNT(F84:I84)=4,SUM(F84:I84),"")</x:f>
      </x:c>
      <x:c r="K84" s="10" t="inlineStr">
        <x:is>
          <x:t xml:space="preserve"/>
        </x:is>
      </x:c>
      <x:c r="L84" s="10" t="inlineStr">
        <x:is>
          <x:t xml:space="preserve">Not recorded in this chat</x:t>
        </x:is>
      </x:c>
    </x:row>
    <x:row r="85">
      <x:c r="A85" s="9" t="n">
        <x:v>21</x:v>
      </x:c>
      <x:c r="B85" s="10" t="inlineStr">
        <x:is>
          <x:t xml:space="preserve">Indian languages</x:t>
        </x:is>
      </x:c>
      <x:c r="C85" s="10" t="inlineStr">
        <x:is>
          <x:t xml:space="preserve">भारत की राजधानी क्या है? एक वाक्य में उत्तर दें।</x:t>
        </x:is>
      </x:c>
      <x:c r="D85" s="9" t="inlineStr">
        <x:is>
          <x:t xml:space="preserve">gpt-oss-20b</x:t>
        </x:is>
      </x:c>
      <x:c r="E85" s="9" t="inlineStr">
        <x:is>
          <x:t xml:space="preserve">Groq</x:t>
        </x:is>
      </x:c>
      <x:c r="F85" s="9" t="n"/>
      <x:c r="G85" s="9" t="n"/>
      <x:c r="H85" s="9" t="n"/>
      <x:c r="I85" s="9" t="n"/>
      <x:c r="J85" s="11" t="str">
        <x:f>IF(COUNT(F85:I85)=4,SUM(F85:I85),"")</x:f>
      </x:c>
      <x:c r="K85" s="10" t="inlineStr">
        <x:is>
          <x:t xml:space="preserve"/>
        </x:is>
      </x:c>
      <x:c r="L85" s="10" t="inlineStr">
        <x:is>
          <x:t xml:space="preserve">Not recorded in this chat</x:t>
        </x:is>
      </x:c>
    </x:row>
    <x:row r="86">
      <x:c r="A86" s="9" t="n">
        <x:v>21</x:v>
      </x:c>
      <x:c r="B86" s="10" t="inlineStr">
        <x:is>
          <x:t xml:space="preserve">Indian languages</x:t>
        </x:is>
      </x:c>
      <x:c r="C86" s="10" t="inlineStr">
        <x:is>
          <x:t xml:space="preserve">भारत की राजधानी क्या है? एक वाक्य में उत्तर दें।</x:t>
        </x:is>
      </x:c>
      <x:c r="D86" s="9" t="inlineStr">
        <x:is>
          <x:t xml:space="preserve">gpt-oss-120b</x:t>
        </x:is>
      </x:c>
      <x:c r="E86" s="9" t="inlineStr">
        <x:is>
          <x:t xml:space="preserve">Groq</x:t>
        </x:is>
      </x:c>
      <x:c r="F86" s="9" t="n"/>
      <x:c r="G86" s="9" t="n"/>
      <x:c r="H86" s="9" t="n"/>
      <x:c r="I86" s="9" t="n"/>
      <x:c r="J86" s="11" t="str">
        <x:f>IF(COUNT(F86:I86)=4,SUM(F86:I86),"")</x:f>
      </x:c>
      <x:c r="K86" s="10" t="inlineStr">
        <x:is>
          <x:t xml:space="preserve"/>
        </x:is>
      </x:c>
      <x:c r="L86" s="10" t="inlineStr">
        <x:is>
          <x:t xml:space="preserve">Not recorded in this chat</x:t>
        </x:is>
      </x:c>
    </x:row>
    <x:row r="87">
      <x:c r="A87" s="9" t="n">
        <x:v>21</x:v>
      </x:c>
      <x:c r="B87" s="10" t="inlineStr">
        <x:is>
          <x:t xml:space="preserve">Indian languages</x:t>
        </x:is>
      </x:c>
      <x:c r="C87" s="10" t="inlineStr">
        <x:is>
          <x:t xml:space="preserve">भारत की राजधानी क्या है? एक वाक्य में उत्तर दें।</x:t>
        </x:is>
      </x:c>
      <x:c r="D87" s="9" t="inlineStr">
        <x:is>
          <x:t xml:space="preserve">Qwen 3.8 27B (Preview)</x:t>
        </x:is>
      </x:c>
      <x:c r="E87" s="9" t="inlineStr">
        <x:is>
          <x:t xml:space="preserve">Groq</x:t>
        </x:is>
      </x:c>
      <x:c r="F87" s="9" t="n"/>
      <x:c r="G87" s="9" t="n"/>
      <x:c r="H87" s="9" t="n"/>
      <x:c r="I87" s="9" t="n"/>
      <x:c r="J87" s="11" t="str">
        <x:f>IF(COUNT(F87:I87)=4,SUM(F87:I87),"")</x:f>
      </x:c>
      <x:c r="K87" s="10" t="inlineStr">
        <x:is>
          <x:t xml:space="preserve"/>
        </x:is>
      </x:c>
      <x:c r="L87" s="10" t="inlineStr">
        <x:is>
          <x:t xml:space="preserve">Not recorded in this chat</x:t>
        </x:is>
      </x:c>
    </x:row>
    <x:row r="88">
      <x:c r="A88" s="9" t="n">
        <x:v>21</x:v>
      </x:c>
      <x:c r="B88" s="10" t="inlineStr">
        <x:is>
          <x:t xml:space="preserve">Indian languages</x:t>
        </x:is>
      </x:c>
      <x:c r="C88" s="10" t="inlineStr">
        <x:is>
          <x:t xml:space="preserve">भारत की राजधानी क्या है? एक वाक्य में उत्तर दें।</x:t>
        </x:is>
      </x:c>
      <x:c r="D88" s="9" t="inlineStr">
        <x:is>
          <x:t xml:space="preserve">Gemma 4 31B</x:t>
        </x:is>
      </x:c>
      <x:c r="E88" s="9" t="inlineStr">
        <x:is>
          <x:t xml:space="preserve">Google AI Studio</x:t>
        </x:is>
      </x:c>
      <x:c r="F88" s="9" t="n"/>
      <x:c r="G88" s="9" t="n"/>
      <x:c r="H88" s="9" t="n"/>
      <x:c r="I88" s="9" t="n"/>
      <x:c r="J88" s="11" t="str">
        <x:f>IF(COUNT(F88:I88)=4,SUM(F88:I88),"")</x:f>
      </x:c>
      <x:c r="K88" s="10" t="inlineStr">
        <x:is>
          <x:t xml:space="preserve"/>
        </x:is>
      </x:c>
      <x:c r="L88" s="10" t="inlineStr">
        <x:is>
          <x:t xml:space="preserve">Not recorded in this chat</x:t>
        </x:is>
      </x:c>
    </x:row>
    <x:row r="89">
      <x:c r="A89" s="9" t="n">
        <x:v>22</x:v>
      </x:c>
      <x:c r="B89" s="10" t="inlineStr">
        <x:is>
          <x:t xml:space="preserve">Indian languages</x:t>
        </x:is>
      </x:c>
      <x:c r="C89" s="10" t="inlineStr">
        <x:is>
          <x:t xml:space="preserve">पानी का रासायनिक सूत्र क्या है? सरल हिंदी में समझाइए।</x:t>
        </x:is>
      </x:c>
      <x:c r="D89" s="9" t="inlineStr">
        <x:is>
          <x:t xml:space="preserve">gpt-oss-20b</x:t>
        </x:is>
      </x:c>
      <x:c r="E89" s="9" t="inlineStr">
        <x:is>
          <x:t xml:space="preserve">Groq</x:t>
        </x:is>
      </x:c>
      <x:c r="F89" s="9" t="n"/>
      <x:c r="G89" s="9" t="n"/>
      <x:c r="H89" s="9" t="n"/>
      <x:c r="I89" s="9" t="n"/>
      <x:c r="J89" s="11" t="str">
        <x:f>IF(COUNT(F89:I89)=4,SUM(F89:I89),"")</x:f>
      </x:c>
      <x:c r="K89" s="10" t="inlineStr">
        <x:is>
          <x:t xml:space="preserve"/>
        </x:is>
      </x:c>
      <x:c r="L89" s="10" t="inlineStr">
        <x:is>
          <x:t xml:space="preserve">Not recorded in this chat</x:t>
        </x:is>
      </x:c>
    </x:row>
    <x:row r="90">
      <x:c r="A90" s="9" t="n">
        <x:v>22</x:v>
      </x:c>
      <x:c r="B90" s="10" t="inlineStr">
        <x:is>
          <x:t xml:space="preserve">Indian languages</x:t>
        </x:is>
      </x:c>
      <x:c r="C90" s="10" t="inlineStr">
        <x:is>
          <x:t xml:space="preserve">पानी का रासायनिक सूत्र क्या है? सरल हिंदी में समझाइए।</x:t>
        </x:is>
      </x:c>
      <x:c r="D90" s="9" t="inlineStr">
        <x:is>
          <x:t xml:space="preserve">gpt-oss-120b</x:t>
        </x:is>
      </x:c>
      <x:c r="E90" s="9" t="inlineStr">
        <x:is>
          <x:t xml:space="preserve">Groq</x:t>
        </x:is>
      </x:c>
      <x:c r="F90" s="9" t="n"/>
      <x:c r="G90" s="9" t="n"/>
      <x:c r="H90" s="9" t="n"/>
      <x:c r="I90" s="9" t="n"/>
      <x:c r="J90" s="11" t="str">
        <x:f>IF(COUNT(F90:I90)=4,SUM(F90:I90),"")</x:f>
      </x:c>
      <x:c r="K90" s="10" t="inlineStr">
        <x:is>
          <x:t xml:space="preserve"/>
        </x:is>
      </x:c>
      <x:c r="L90" s="10" t="inlineStr">
        <x:is>
          <x:t xml:space="preserve">Not recorded in this chat</x:t>
        </x:is>
      </x:c>
    </x:row>
    <x:row r="91">
      <x:c r="A91" s="9" t="n">
        <x:v>22</x:v>
      </x:c>
      <x:c r="B91" s="10" t="inlineStr">
        <x:is>
          <x:t xml:space="preserve">Indian languages</x:t>
        </x:is>
      </x:c>
      <x:c r="C91" s="10" t="inlineStr">
        <x:is>
          <x:t xml:space="preserve">पानी का रासायनिक सूत्र क्या है? सरल हिंदी में समझाइए।</x:t>
        </x:is>
      </x:c>
      <x:c r="D91" s="9" t="inlineStr">
        <x:is>
          <x:t xml:space="preserve">Qwen 3.8 27B (Preview)</x:t>
        </x:is>
      </x:c>
      <x:c r="E91" s="9" t="inlineStr">
        <x:is>
          <x:t xml:space="preserve">Groq</x:t>
        </x:is>
      </x:c>
      <x:c r="F91" s="9" t="n"/>
      <x:c r="G91" s="9" t="n"/>
      <x:c r="H91" s="9" t="n"/>
      <x:c r="I91" s="9" t="n"/>
      <x:c r="J91" s="11" t="str">
        <x:f>IF(COUNT(F91:I91)=4,SUM(F91:I91),"")</x:f>
      </x:c>
      <x:c r="K91" s="10" t="inlineStr">
        <x:is>
          <x:t xml:space="preserve"/>
        </x:is>
      </x:c>
      <x:c r="L91" s="10" t="inlineStr">
        <x:is>
          <x:t xml:space="preserve">Not recorded in this chat</x:t>
        </x:is>
      </x:c>
    </x:row>
    <x:row r="92">
      <x:c r="A92" s="9" t="n">
        <x:v>22</x:v>
      </x:c>
      <x:c r="B92" s="10" t="inlineStr">
        <x:is>
          <x:t xml:space="preserve">Indian languages</x:t>
        </x:is>
      </x:c>
      <x:c r="C92" s="10" t="inlineStr">
        <x:is>
          <x:t xml:space="preserve">पानी का रासायनिक सूत्र क्या है? सरल हिंदी में समझाइए।</x:t>
        </x:is>
      </x:c>
      <x:c r="D92" s="9" t="inlineStr">
        <x:is>
          <x:t xml:space="preserve">Gemma 4 31B</x:t>
        </x:is>
      </x:c>
      <x:c r="E92" s="9" t="inlineStr">
        <x:is>
          <x:t xml:space="preserve">Google AI Studio</x:t>
        </x:is>
      </x:c>
      <x:c r="F92" s="9" t="n"/>
      <x:c r="G92" s="9" t="n"/>
      <x:c r="H92" s="9" t="n"/>
      <x:c r="I92" s="9" t="n"/>
      <x:c r="J92" s="11" t="str">
        <x:f>IF(COUNT(F92:I92)=4,SUM(F92:I92),"")</x:f>
      </x:c>
      <x:c r="K92" s="10" t="inlineStr">
        <x:is>
          <x:t xml:space="preserve"/>
        </x:is>
      </x:c>
      <x:c r="L92" s="10" t="inlineStr">
        <x:is>
          <x:t xml:space="preserve">Not recorded in this chat</x:t>
        </x:is>
      </x:c>
    </x:row>
    <x:row r="93">
      <x:c r="A93" s="9" t="n">
        <x:v>23</x:v>
      </x:c>
      <x:c r="B93" s="10" t="inlineStr">
        <x:is>
          <x:t xml:space="preserve">Indian languages</x:t>
        </x:is>
      </x:c>
      <x:c r="C93" s="10" t="inlineStr">
        <x:is>
          <x:t xml:space="preserve">मुझे रोज़ पढ़ाई करने की आदत बनाने के लिए तीन व्यावहारिक सुझाव हिंदी में दीजिए।</x:t>
        </x:is>
      </x:c>
      <x:c r="D93" s="9" t="inlineStr">
        <x:is>
          <x:t xml:space="preserve">gpt-oss-20b</x:t>
        </x:is>
      </x:c>
      <x:c r="E93" s="9" t="inlineStr">
        <x:is>
          <x:t xml:space="preserve">Groq</x:t>
        </x:is>
      </x:c>
      <x:c r="F93" s="9" t="n"/>
      <x:c r="G93" s="9" t="n"/>
      <x:c r="H93" s="9" t="n"/>
      <x:c r="I93" s="9" t="n"/>
      <x:c r="J93" s="11" t="str">
        <x:f>IF(COUNT(F93:I93)=4,SUM(F93:I93),"")</x:f>
      </x:c>
      <x:c r="K93" s="10" t="inlineStr">
        <x:is>
          <x:t xml:space="preserve"/>
        </x:is>
      </x:c>
      <x:c r="L93" s="10" t="inlineStr">
        <x:is>
          <x:t xml:space="preserve">Not recorded in this chat</x:t>
        </x:is>
      </x:c>
    </x:row>
    <x:row r="94">
      <x:c r="A94" s="9" t="n">
        <x:v>23</x:v>
      </x:c>
      <x:c r="B94" s="10" t="inlineStr">
        <x:is>
          <x:t xml:space="preserve">Indian languages</x:t>
        </x:is>
      </x:c>
      <x:c r="C94" s="10" t="inlineStr">
        <x:is>
          <x:t xml:space="preserve">मुझे रोज़ पढ़ाई करने की आदत बनाने के लिए तीन व्यावहारिक सुझाव हिंदी में दीजिए।</x:t>
        </x:is>
      </x:c>
      <x:c r="D94" s="9" t="inlineStr">
        <x:is>
          <x:t xml:space="preserve">gpt-oss-120b</x:t>
        </x:is>
      </x:c>
      <x:c r="E94" s="9" t="inlineStr">
        <x:is>
          <x:t xml:space="preserve">Groq</x:t>
        </x:is>
      </x:c>
      <x:c r="F94" s="9" t="n"/>
      <x:c r="G94" s="9" t="n"/>
      <x:c r="H94" s="9" t="n"/>
      <x:c r="I94" s="9" t="n"/>
      <x:c r="J94" s="11" t="str">
        <x:f>IF(COUNT(F94:I94)=4,SUM(F94:I94),"")</x:f>
      </x:c>
      <x:c r="K94" s="10" t="inlineStr">
        <x:is>
          <x:t xml:space="preserve"/>
        </x:is>
      </x:c>
      <x:c r="L94" s="10" t="inlineStr">
        <x:is>
          <x:t xml:space="preserve">Not recorded in this chat</x:t>
        </x:is>
      </x:c>
    </x:row>
    <x:row r="95">
      <x:c r="A95" s="9" t="n">
        <x:v>23</x:v>
      </x:c>
      <x:c r="B95" s="10" t="inlineStr">
        <x:is>
          <x:t xml:space="preserve">Indian languages</x:t>
        </x:is>
      </x:c>
      <x:c r="C95" s="10" t="inlineStr">
        <x:is>
          <x:t xml:space="preserve">मुझे रोज़ पढ़ाई करने की आदत बनाने के लिए तीन व्यावहारिक सुझाव हिंदी में दीजिए।</x:t>
        </x:is>
      </x:c>
      <x:c r="D95" s="9" t="inlineStr">
        <x:is>
          <x:t xml:space="preserve">Qwen 3.8 27B (Preview)</x:t>
        </x:is>
      </x:c>
      <x:c r="E95" s="9" t="inlineStr">
        <x:is>
          <x:t xml:space="preserve">Groq</x:t>
        </x:is>
      </x:c>
      <x:c r="F95" s="9" t="n"/>
      <x:c r="G95" s="9" t="n"/>
      <x:c r="H95" s="9" t="n"/>
      <x:c r="I95" s="9" t="n"/>
      <x:c r="J95" s="11" t="str">
        <x:f>IF(COUNT(F95:I95)=4,SUM(F95:I95),"")</x:f>
      </x:c>
      <x:c r="K95" s="10" t="inlineStr">
        <x:is>
          <x:t xml:space="preserve"/>
        </x:is>
      </x:c>
      <x:c r="L95" s="10" t="inlineStr">
        <x:is>
          <x:t xml:space="preserve">Not recorded in this chat</x:t>
        </x:is>
      </x:c>
    </x:row>
    <x:row r="96">
      <x:c r="A96" s="9" t="n">
        <x:v>23</x:v>
      </x:c>
      <x:c r="B96" s="10" t="inlineStr">
        <x:is>
          <x:t xml:space="preserve">Indian languages</x:t>
        </x:is>
      </x:c>
      <x:c r="C96" s="10" t="inlineStr">
        <x:is>
          <x:t xml:space="preserve">मुझे रोज़ पढ़ाई करने की आदत बनाने के लिए तीन व्यावहारिक सुझाव हिंदी में दीजिए।</x:t>
        </x:is>
      </x:c>
      <x:c r="D96" s="9" t="inlineStr">
        <x:is>
          <x:t xml:space="preserve">Gemma 4 31B</x:t>
        </x:is>
      </x:c>
      <x:c r="E96" s="9" t="inlineStr">
        <x:is>
          <x:t xml:space="preserve">Google AI Studio</x:t>
        </x:is>
      </x:c>
      <x:c r="F96" s="9" t="n"/>
      <x:c r="G96" s="9" t="n"/>
      <x:c r="H96" s="9" t="n"/>
      <x:c r="I96" s="9" t="n"/>
      <x:c r="J96" s="11" t="str">
        <x:f>IF(COUNT(F96:I96)=4,SUM(F96:I96),"")</x:f>
      </x:c>
      <x:c r="K96" s="10" t="inlineStr">
        <x:is>
          <x:t xml:space="preserve"/>
        </x:is>
      </x:c>
      <x:c r="L96" s="10" t="inlineStr">
        <x:is>
          <x:t xml:space="preserve">Not recorded in this chat</x:t>
        </x:is>
      </x:c>
    </x:row>
    <x:row r="97">
      <x:c r="A97" s="9" t="n">
        <x:v>24</x:v>
      </x:c>
      <x:c r="B97" s="10" t="inlineStr">
        <x:is>
          <x:t xml:space="preserve">Indian languages</x:t>
        </x:is>
      </x:c>
      <x:c r="C97" s="10" t="inlineStr">
        <x:is>
          <x:t xml:space="preserve">यदि किसी वस्तु की कीमत ₹500 है और उस पर 10% छूट मिलती है, तो अंतिम कीमत क्या होगी? गणना हिंदी में समझाइए।</x:t>
        </x:is>
      </x:c>
      <x:c r="D97" s="9" t="inlineStr">
        <x:is>
          <x:t xml:space="preserve">gpt-oss-20b</x:t>
        </x:is>
      </x:c>
      <x:c r="E97" s="9" t="inlineStr">
        <x:is>
          <x:t xml:space="preserve">Groq</x:t>
        </x:is>
      </x:c>
      <x:c r="F97" s="9" t="n"/>
      <x:c r="G97" s="9" t="n"/>
      <x:c r="H97" s="9" t="n"/>
      <x:c r="I97" s="9" t="n"/>
      <x:c r="J97" s="11" t="str">
        <x:f>IF(COUNT(F97:I97)=4,SUM(F97:I97),"")</x:f>
      </x:c>
      <x:c r="K97" s="10" t="inlineStr">
        <x:is>
          <x:t xml:space="preserve"/>
        </x:is>
      </x:c>
      <x:c r="L97" s="10" t="inlineStr">
        <x:is>
          <x:t xml:space="preserve">Not recorded in this chat</x:t>
        </x:is>
      </x:c>
    </x:row>
    <x:row r="98">
      <x:c r="A98" s="9" t="n">
        <x:v>24</x:v>
      </x:c>
      <x:c r="B98" s="10" t="inlineStr">
        <x:is>
          <x:t xml:space="preserve">Indian languages</x:t>
        </x:is>
      </x:c>
      <x:c r="C98" s="10" t="inlineStr">
        <x:is>
          <x:t xml:space="preserve">यदि किसी वस्तु की कीमत ₹500 है और उस पर 10% छूट मिलती है, तो अंतिम कीमत क्या होगी? गणना हिंदी में समझाइए।</x:t>
        </x:is>
      </x:c>
      <x:c r="D98" s="9" t="inlineStr">
        <x:is>
          <x:t xml:space="preserve">gpt-oss-120b</x:t>
        </x:is>
      </x:c>
      <x:c r="E98" s="9" t="inlineStr">
        <x:is>
          <x:t xml:space="preserve">Groq</x:t>
        </x:is>
      </x:c>
      <x:c r="F98" s="9" t="n"/>
      <x:c r="G98" s="9" t="n"/>
      <x:c r="H98" s="9" t="n"/>
      <x:c r="I98" s="9" t="n"/>
      <x:c r="J98" s="11" t="str">
        <x:f>IF(COUNT(F98:I98)=4,SUM(F98:I98),"")</x:f>
      </x:c>
      <x:c r="K98" s="10" t="inlineStr">
        <x:is>
          <x:t xml:space="preserve"/>
        </x:is>
      </x:c>
      <x:c r="L98" s="10" t="inlineStr">
        <x:is>
          <x:t xml:space="preserve">Not recorded in this chat</x:t>
        </x:is>
      </x:c>
    </x:row>
    <x:row r="99">
      <x:c r="A99" s="9" t="n">
        <x:v>24</x:v>
      </x:c>
      <x:c r="B99" s="10" t="inlineStr">
        <x:is>
          <x:t xml:space="preserve">Indian languages</x:t>
        </x:is>
      </x:c>
      <x:c r="C99" s="10" t="inlineStr">
        <x:is>
          <x:t xml:space="preserve">यदि किसी वस्तु की कीमत ₹500 है और उस पर 10% छूट मिलती है, तो अंतिम कीमत क्या होगी? गणना हिंदी में समझाइए।</x:t>
        </x:is>
      </x:c>
      <x:c r="D99" s="9" t="inlineStr">
        <x:is>
          <x:t xml:space="preserve">Qwen 3.8 27B (Preview)</x:t>
        </x:is>
      </x:c>
      <x:c r="E99" s="9" t="inlineStr">
        <x:is>
          <x:t xml:space="preserve">Groq</x:t>
        </x:is>
      </x:c>
      <x:c r="F99" s="9" t="n"/>
      <x:c r="G99" s="9" t="n"/>
      <x:c r="H99" s="9" t="n"/>
      <x:c r="I99" s="9" t="n"/>
      <x:c r="J99" s="11" t="str">
        <x:f>IF(COUNT(F99:I99)=4,SUM(F99:I99),"")</x:f>
      </x:c>
      <x:c r="K99" s="10" t="inlineStr">
        <x:is>
          <x:t xml:space="preserve"/>
        </x:is>
      </x:c>
      <x:c r="L99" s="10" t="inlineStr">
        <x:is>
          <x:t xml:space="preserve">Not recorded in this chat</x:t>
        </x:is>
      </x:c>
    </x:row>
    <x:row r="100">
      <x:c r="A100" s="9" t="n">
        <x:v>24</x:v>
      </x:c>
      <x:c r="B100" s="10" t="inlineStr">
        <x:is>
          <x:t xml:space="preserve">Indian languages</x:t>
        </x:is>
      </x:c>
      <x:c r="C100" s="10" t="inlineStr">
        <x:is>
          <x:t xml:space="preserve">यदि किसी वस्तु की कीमत ₹500 है और उस पर 10% छूट मिलती है, तो अंतिम कीमत क्या होगी? गणना हिंदी में समझाइए।</x:t>
        </x:is>
      </x:c>
      <x:c r="D100" s="9" t="inlineStr">
        <x:is>
          <x:t xml:space="preserve">Gemma 4 31B</x:t>
        </x:is>
      </x:c>
      <x:c r="E100" s="9" t="inlineStr">
        <x:is>
          <x:t xml:space="preserve">Google AI Studio</x:t>
        </x:is>
      </x:c>
      <x:c r="F100" s="9" t="n"/>
      <x:c r="G100" s="9" t="n"/>
      <x:c r="H100" s="9" t="n"/>
      <x:c r="I100" s="9" t="n"/>
      <x:c r="J100" s="11" t="str">
        <x:f>IF(COUNT(F100:I100)=4,SUM(F100:I100),"")</x:f>
      </x:c>
      <x:c r="K100" s="10" t="inlineStr">
        <x:is>
          <x:t xml:space="preserve"/>
        </x:is>
      </x:c>
      <x:c r="L100" s="10" t="inlineStr">
        <x:is>
          <x:t xml:space="preserve">Not recorded in this chat</x:t>
        </x:is>
      </x:c>
    </x:row>
    <x:row r="101">
      <x:c r="A101" s="9" t="n">
        <x:v>25</x:v>
      </x:c>
      <x:c r="B101" s="10" t="inlineStr">
        <x:is>
          <x:t xml:space="preserve">Indian languages</x:t>
        </x:is>
      </x:c>
      <x:c r="C101" s="10" t="inlineStr">
        <x:is>
          <x:t xml:space="preserve">इस वाक्य का अंग्रेज़ी में अनुवाद करें: 'मेहनत और निरंतर अभ्यास से कौशल बेहतर होते हैं।'</x:t>
        </x:is>
      </x:c>
      <x:c r="D101" s="9" t="inlineStr">
        <x:is>
          <x:t xml:space="preserve">gpt-oss-20b</x:t>
        </x:is>
      </x:c>
      <x:c r="E101" s="9" t="inlineStr">
        <x:is>
          <x:t xml:space="preserve">Groq</x:t>
        </x:is>
      </x:c>
      <x:c r="F101" s="9" t="n"/>
      <x:c r="G101" s="9" t="n"/>
      <x:c r="H101" s="9" t="n"/>
      <x:c r="I101" s="9" t="n"/>
      <x:c r="J101" s="11" t="str">
        <x:f>IF(COUNT(F101:I101)=4,SUM(F101:I101),"")</x:f>
      </x:c>
      <x:c r="K101" s="10" t="inlineStr">
        <x:is>
          <x:t xml:space="preserve"/>
        </x:is>
      </x:c>
      <x:c r="L101" s="10" t="inlineStr">
        <x:is>
          <x:t xml:space="preserve">Not recorded in this chat</x:t>
        </x:is>
      </x:c>
    </x:row>
    <x:row r="102">
      <x:c r="A102" s="9" t="n">
        <x:v>25</x:v>
      </x:c>
      <x:c r="B102" s="10" t="inlineStr">
        <x:is>
          <x:t xml:space="preserve">Indian languages</x:t>
        </x:is>
      </x:c>
      <x:c r="C102" s="10" t="inlineStr">
        <x:is>
          <x:t xml:space="preserve">इस वाक्य का अंग्रेज़ी में अनुवाद करें: 'मेहनत और निरंतर अभ्यास से कौशल बेहतर होते हैं।'</x:t>
        </x:is>
      </x:c>
      <x:c r="D102" s="9" t="inlineStr">
        <x:is>
          <x:t xml:space="preserve">gpt-oss-120b</x:t>
        </x:is>
      </x:c>
      <x:c r="E102" s="9" t="inlineStr">
        <x:is>
          <x:t xml:space="preserve">Groq</x:t>
        </x:is>
      </x:c>
      <x:c r="F102" s="9" t="n"/>
      <x:c r="G102" s="9" t="n"/>
      <x:c r="H102" s="9" t="n"/>
      <x:c r="I102" s="9" t="n"/>
      <x:c r="J102" s="11" t="str">
        <x:f>IF(COUNT(F102:I102)=4,SUM(F102:I102),"")</x:f>
      </x:c>
      <x:c r="K102" s="10" t="inlineStr">
        <x:is>
          <x:t xml:space="preserve"/>
        </x:is>
      </x:c>
      <x:c r="L102" s="10" t="inlineStr">
        <x:is>
          <x:t xml:space="preserve">Not recorded in this chat</x:t>
        </x:is>
      </x:c>
    </x:row>
    <x:row r="103">
      <x:c r="A103" s="9" t="n">
        <x:v>25</x:v>
      </x:c>
      <x:c r="B103" s="10" t="inlineStr">
        <x:is>
          <x:t xml:space="preserve">Indian languages</x:t>
        </x:is>
      </x:c>
      <x:c r="C103" s="10" t="inlineStr">
        <x:is>
          <x:t xml:space="preserve">इस वाक्य का अंग्रेज़ी में अनुवाद करें: 'मेहनत और निरंतर अभ्यास से कौशल बेहतर होते हैं।'</x:t>
        </x:is>
      </x:c>
      <x:c r="D103" s="9" t="inlineStr">
        <x:is>
          <x:t xml:space="preserve">Qwen 3.8 27B (Preview)</x:t>
        </x:is>
      </x:c>
      <x:c r="E103" s="9" t="inlineStr">
        <x:is>
          <x:t xml:space="preserve">Groq</x:t>
        </x:is>
      </x:c>
      <x:c r="F103" s="9" t="n"/>
      <x:c r="G103" s="9" t="n"/>
      <x:c r="H103" s="9" t="n"/>
      <x:c r="I103" s="9" t="n"/>
      <x:c r="J103" s="11" t="str">
        <x:f>IF(COUNT(F103:I103)=4,SUM(F103:I103),"")</x:f>
      </x:c>
      <x:c r="K103" s="10" t="inlineStr">
        <x:is>
          <x:t xml:space="preserve"/>
        </x:is>
      </x:c>
      <x:c r="L103" s="10" t="inlineStr">
        <x:is>
          <x:t xml:space="preserve">Not recorded in this chat</x:t>
        </x:is>
      </x:c>
    </x:row>
    <x:row r="104">
      <x:c r="A104" s="9" t="n">
        <x:v>25</x:v>
      </x:c>
      <x:c r="B104" s="10" t="inlineStr">
        <x:is>
          <x:t xml:space="preserve">Indian languages</x:t>
        </x:is>
      </x:c>
      <x:c r="C104" s="10" t="inlineStr">
        <x:is>
          <x:t xml:space="preserve">इस वाक्य का अंग्रेज़ी में अनुवाद करें: 'मेहनत और निरंतर अभ्यास से कौशल बेहतर होते हैं।'</x:t>
        </x:is>
      </x:c>
      <x:c r="D104" s="9" t="inlineStr">
        <x:is>
          <x:t xml:space="preserve">Gemma 4 31B</x:t>
        </x:is>
      </x:c>
      <x:c r="E104" s="9" t="inlineStr">
        <x:is>
          <x:t xml:space="preserve">Google AI Studio</x:t>
        </x:is>
      </x:c>
      <x:c r="F104" s="9" t="n"/>
      <x:c r="G104" s="9" t="n"/>
      <x:c r="H104" s="9" t="n"/>
      <x:c r="I104" s="9" t="n"/>
      <x:c r="J104" s="11" t="str">
        <x:f>IF(COUNT(F104:I104)=4,SUM(F104:I104),"")</x:f>
      </x:c>
      <x:c r="K104" s="10" t="inlineStr">
        <x:is>
          <x:t xml:space="preserve"/>
        </x:is>
      </x:c>
      <x:c r="L104" s="10" t="inlineStr">
        <x:is>
          <x:t xml:space="preserve">Not recorded in this chat</x:t>
        </x:is>
      </x:c>
    </x:row>
  </x:sheetData>
  <x:mergeCells>
    <x:mergeCell ref="A1:J1"/>
    <x:mergeCell ref="A2:J2"/>
  </x:mergeCells>
  <x:conditionalFormatting sqref="J5:J104">
    <x:cfRule type="colorScale" priority="1">
      <x:colorScale>
        <x:cfvo type="num" val="0"/>
        <x:cfvo type="num" val="10"/>
        <x:cfvo type="num" val="20"/>
        <x:color rgb="00F4CCCC"/>
        <x:color rgb="00FFF2CC"/>
        <x:color rgb="00D9EAD3"/>
      </x:colorScale>
    </x:cfRule>
  </x:conditionalFormatting>
  <x:dataValidations count="1">
    <x:dataValidation type="whole" operator="between" allowBlank="1" showDropDown="0" showInputMessage="0" showErrorMessage="0" errorTitle="Invalid score" error="Enter a whole-number score from 1 to 5." promptTitle="Evaluation score" prompt="Score this criterion from 1 to 5." sqref="F5:I104">
      <x:formula1>1</x:formula1>
      <x:formula2>5</x:formula2>
    </x:dataValidation>
  </x:dataValidations>
  <x:pageMargins left="0.7" right="0.7" top="0.75" bottom="0.75" header="0.3" footer="0.3"/>
  <x:tableParts count="1">
    <x:tablePart xmlns:r="http://schemas.openxmlformats.org/officeDocument/2006/relationships" r:id="R7a57143698bc4b24"/>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baseColWidth="8" defaultRowHeight="15"/>
  <x:cols>
    <x:col min="1" max="1" width="12" customWidth="1"/>
    <x:col min="2" max="2" width="28" customWidth="1"/>
    <x:col min="3" max="3" width="110" customWidth="1"/>
  </x:cols>
  <x:sheetData>
    <x:row r="1" ht="32" customHeight="1">
      <x:c r="A1" s="1" t="inlineStr">
        <x:is>
          <x:t xml:space="preserve">PROMPT BANK</x:t>
        </x:is>
      </x:c>
    </x:row>
    <x:row r="2" ht="30" customHeight="1">
      <x:c r="A2" s="2" t="inlineStr">
        <x:is>
          <x:t xml:space="preserve">25 standardized prompts across five categories. Use the same prompt, system instruction, temperature and fresh conversation for each model.</x:t>
        </x:is>
      </x:c>
    </x:row>
    <x:row r="3"/>
    <x:row r="4" ht="30" customHeight="1">
      <x:c r="A4" s="6" t="inlineStr">
        <x:is>
          <x:t xml:space="preserve">Prompt ID</x:t>
        </x:is>
      </x:c>
      <x:c r="B4" s="6" t="inlineStr">
        <x:is>
          <x:t xml:space="preserve">Category</x:t>
        </x:is>
      </x:c>
      <x:c r="C4" s="6" t="inlineStr">
        <x:is>
          <x:t xml:space="preserve">Exact prompt</x:t>
        </x:is>
      </x:c>
    </x:row>
    <x:row r="5" ht="50" customHeight="1">
      <x:c r="A5" s="7" t="n">
        <x:v>1</x:v>
      </x:c>
      <x:c r="B5" s="7" t="inlineStr">
        <x:is>
          <x:t xml:space="preserve">Reasoning and mathematics</x:t>
        </x:is>
      </x:c>
      <x:c r="C5" s="7" t="inlineStr">
        <x:is>
          <x:t xml:space="preserve">A bat and a ball cost ₹110 in total. The bat costs ₹100 more than the ball. How much does the ball cost? Explain briefly.</x:t>
        </x:is>
      </x:c>
    </x:row>
    <x:row r="6" ht="50" customHeight="1">
      <x:c r="A6" s="7" t="n">
        <x:v>2</x:v>
      </x:c>
      <x:c r="B6" s="7" t="inlineStr">
        <x:is>
          <x:t xml:space="preserve">Reasoning and mathematics</x:t>
        </x:is>
      </x:c>
      <x:c r="C6" s="7" t="inlineStr">
        <x:is>
          <x:t xml:space="preserve">A shirt costs ₹800 after a 20% discount. What was its original price?</x:t>
        </x:is>
      </x:c>
    </x:row>
    <x:row r="7" ht="50" customHeight="1">
      <x:c r="A7" s="7" t="n">
        <x:v>3</x:v>
      </x:c>
      <x:c r="B7" s="7" t="inlineStr">
        <x:is>
          <x:t xml:space="preserve">Reasoning and mathematics</x:t>
        </x:is>
      </x:c>
      <x:c r="C7" s="7" t="inlineStr">
        <x:is>
          <x:t xml:space="preserve">All roses are flowers. Some flowers fade quickly. Can we conclude that some roses fade quickly? Explain.</x:t>
        </x:is>
      </x:c>
    </x:row>
    <x:row r="8" ht="50" customHeight="1">
      <x:c r="A8" s="7" t="n">
        <x:v>4</x:v>
      </x:c>
      <x:c r="B8" s="7" t="inlineStr">
        <x:is>
          <x:t xml:space="preserve">Reasoning and mathematics</x:t>
        </x:is>
      </x:c>
      <x:c r="C8" s="7" t="inlineStr">
        <x:is>
          <x:t xml:space="preserve">A train travels 120 km in 2 hours. At the same average speed, how far will it travel in 3.5 hours?</x:t>
        </x:is>
      </x:c>
    </x:row>
    <x:row r="9" ht="50" customHeight="1">
      <x:c r="A9" s="7" t="n">
        <x:v>5</x:v>
      </x:c>
      <x:c r="B9" s="7" t="inlineStr">
        <x:is>
          <x:t xml:space="preserve">Reasoning and mathematics</x:t>
        </x:is>
      </x:c>
      <x:c r="C9" s="7" t="inlineStr">
        <x:is>
          <x:t xml:space="preserve">A farmer has 17 sheep. All but 9 run away. How many sheep remain?</x:t>
        </x:is>
      </x:c>
    </x:row>
    <x:row r="10" ht="50" customHeight="1">
      <x:c r="A10" s="7" t="n">
        <x:v>6</x:v>
      </x:c>
      <x:c r="B10" s="7" t="inlineStr">
        <x:is>
          <x:t xml:space="preserve">Factual accuracy</x:t>
        </x:is>
      </x:c>
      <x:c r="C10" s="7" t="inlineStr">
        <x:is>
          <x:t xml:space="preserve">What is the capital of Australia?</x:t>
        </x:is>
      </x:c>
    </x:row>
    <x:row r="11" ht="50" customHeight="1">
      <x:c r="A11" s="7" t="n">
        <x:v>7</x:v>
      </x:c>
      <x:c r="B11" s="7" t="inlineStr">
        <x:is>
          <x:t xml:space="preserve">Factual accuracy</x:t>
        </x:is>
      </x:c>
      <x:c r="C11" s="7" t="inlineStr">
        <x:is>
          <x:t xml:space="preserve">Who won the 2019 Nobel Prize in Cricket? If no such prize exists, say so.</x:t>
        </x:is>
      </x:c>
    </x:row>
    <x:row r="12" ht="50" customHeight="1">
      <x:c r="A12" s="7" t="n">
        <x:v>8</x:v>
      </x:c>
      <x:c r="B12" s="7" t="inlineStr">
        <x:is>
          <x:t xml:space="preserve">Factual accuracy</x:t>
        </x:is>
      </x:c>
      <x:c r="C12" s="7" t="inlineStr">
        <x:is>
          <x:t xml:space="preserve">What is the chemical formula of water?</x:t>
        </x:is>
      </x:c>
    </x:row>
    <x:row r="13" ht="50" customHeight="1">
      <x:c r="A13" s="7" t="n">
        <x:v>9</x:v>
      </x:c>
      <x:c r="B13" s="7" t="inlineStr">
        <x:is>
          <x:t xml:space="preserve">Factual accuracy</x:t>
        </x:is>
      </x:c>
      <x:c r="C13" s="7" t="inlineStr">
        <x:is>
          <x:t xml:space="preserve">Who wrote the play Romeo and Juliet?</x:t>
        </x:is>
      </x:c>
    </x:row>
    <x:row r="14" ht="50" customHeight="1">
      <x:c r="A14" s="7" t="n">
        <x:v>10</x:v>
      </x:c>
      <x:c r="B14" s="7" t="inlineStr">
        <x:is>
          <x:t xml:space="preserve">Factual accuracy</x:t>
        </x:is>
      </x:c>
      <x:c r="C14" s="7" t="inlineStr">
        <x:is>
          <x:t xml:space="preserve">Is the Sun a planet or a star? Explain in one sentence.</x:t>
        </x:is>
      </x:c>
    </x:row>
    <x:row r="15" ht="50" customHeight="1">
      <x:c r="A15" s="7" t="n">
        <x:v>11</x:v>
      </x:c>
      <x:c r="B15" s="7" t="inlineStr">
        <x:is>
          <x:t xml:space="preserve">Instruction following</x:t>
        </x:is>
      </x:c>
      <x:c r="C15" s="7" t="inlineStr">
        <x:is>
          <x:t xml:space="preserve">List exactly three benefits of open-source software, each in fewer than ten words, as a numbered list.</x:t>
        </x:is>
      </x:c>
    </x:row>
    <x:row r="16" ht="50" customHeight="1">
      <x:c r="A16" s="7" t="n">
        <x:v>12</x:v>
      </x:c>
      <x:c r="B16" s="7" t="inlineStr">
        <x:is>
          <x:t xml:space="preserve">Instruction following</x:t>
        </x:is>
      </x:c>
      <x:c r="C16" s="7" t="inlineStr">
        <x:is>
          <x:t xml:space="preserve">Explain machine learning in exactly two sentences for a beginner.</x:t>
        </x:is>
      </x:c>
    </x:row>
    <x:row r="17" ht="50" customHeight="1">
      <x:c r="A17" s="7" t="n">
        <x:v>13</x:v>
      </x:c>
      <x:c r="B17" s="7" t="inlineStr">
        <x:is>
          <x:t xml:space="preserve">Instruction following</x:t>
        </x:is>
      </x:c>
      <x:c r="C17" s="7" t="inlineStr">
        <x:is>
          <x:t xml:space="preserve">Return only valid JSON with the keys name, language, and purpose for a Python calculator program. Do not include Markdown.</x:t>
        </x:is>
      </x:c>
    </x:row>
    <x:row r="18" ht="50" customHeight="1">
      <x:c r="A18" s="7" t="n">
        <x:v>14</x:v>
      </x:c>
      <x:c r="B18" s="7" t="inlineStr">
        <x:is>
          <x:t xml:space="preserve">Instruction following</x:t>
        </x:is>
      </x:c>
      <x:c r="C18" s="7" t="inlineStr">
        <x:is>
          <x:t xml:space="preserve">Explain three differences between RAM and storage in a table with exactly three rows and two comparison columns.</x:t>
        </x:is>
      </x:c>
    </x:row>
    <x:row r="19" ht="50" customHeight="1">
      <x:c r="A19" s="7" t="n">
        <x:v>15</x:v>
      </x:c>
      <x:c r="B19" s="7" t="inlineStr">
        <x:is>
          <x:t xml:space="preserve">Instruction following</x:t>
        </x:is>
      </x:c>
      <x:c r="C19" s="7" t="inlineStr">
        <x:is>
          <x:t xml:space="preserve">Explain what an API is using exactly 20 words. Count the words carefully.</x:t>
        </x:is>
      </x:c>
    </x:row>
    <x:row r="20" ht="50" customHeight="1">
      <x:c r="A20" s="7" t="n">
        <x:v>16</x:v>
      </x:c>
      <x:c r="B20" s="7" t="inlineStr">
        <x:is>
          <x:t xml:space="preserve">Coding</x:t>
        </x:is>
      </x:c>
      <x:c r="C20" s="7" t="inlineStr">
        <x:is>
          <x:t xml:space="preserve">Write a Python function that returns the sum of all numbers in a list. Include one example.</x:t>
        </x:is>
      </x:c>
    </x:row>
    <x:row r="21" ht="50" customHeight="1">
      <x:c r="A21" s="7" t="n">
        <x:v>17</x:v>
      </x:c>
      <x:c r="B21" s="7" t="inlineStr">
        <x:is>
          <x:t xml:space="preserve">Coding</x:t>
        </x:is>
      </x:c>
      <x:c r="C21" s="7" t="inlineStr">
        <x:is>
          <x:t xml:space="preserve">Write a Python function to reverse a string without using slicing. Explain the logic.</x:t>
        </x:is>
      </x:c>
    </x:row>
    <x:row r="22" ht="50" customHeight="1">
      <x:c r="A22" s="7" t="n">
        <x:v>18</x:v>
      </x:c>
      <x:c r="B22" s="7" t="inlineStr">
        <x:is>
          <x:t xml:space="preserve">Coding</x:t>
        </x:is>
      </x:c>
      <x:c r="C22" s="7" t="inlineStr">
        <x:is>
          <x:t xml:space="preserve">Write a Python function that returns the second-largest distinct number in a list. Explain how it handles duplicates.</x:t>
        </x:is>
      </x:c>
    </x:row>
    <x:row r="23" ht="50" customHeight="1">
      <x:c r="A23" s="7" t="n">
        <x:v>19</x:v>
      </x:c>
      <x:c r="B23" s="7" t="inlineStr">
        <x:is>
          <x:t xml:space="preserve">Coding</x:t>
        </x:is>
      </x:c>
      <x:c r="C23" s="7" t="inlineStr">
        <x:is>
          <x:t xml:space="preserve">What is the output of this Python code? x = 7; x //= 2; print(x). Explain why.</x:t>
        </x:is>
      </x:c>
    </x:row>
    <x:row r="24" ht="50" customHeight="1">
      <x:c r="A24" s="7" t="n">
        <x:v>20</x:v>
      </x:c>
      <x:c r="B24" s="7" t="inlineStr">
        <x:is>
          <x:t xml:space="preserve">Coding</x:t>
        </x:is>
      </x:c>
      <x:c r="C24" s="7" t="inlineStr">
        <x:is>
          <x:t xml:space="preserve">Write a Python function to check whether an integer is prime. Include tests for 1, 2, and 9.</x:t>
        </x:is>
      </x:c>
    </x:row>
    <x:row r="25" ht="50" customHeight="1">
      <x:c r="A25" s="7" t="n">
        <x:v>21</x:v>
      </x:c>
      <x:c r="B25" s="7" t="inlineStr">
        <x:is>
          <x:t xml:space="preserve">Indian languages</x:t>
        </x:is>
      </x:c>
      <x:c r="C25" s="7" t="inlineStr">
        <x:is>
          <x:t xml:space="preserve">भारत की राजधानी क्या है? एक वाक्य में उत्तर दें।</x:t>
        </x:is>
      </x:c>
    </x:row>
    <x:row r="26" ht="50" customHeight="1">
      <x:c r="A26" s="7" t="n">
        <x:v>22</x:v>
      </x:c>
      <x:c r="B26" s="7" t="inlineStr">
        <x:is>
          <x:t xml:space="preserve">Indian languages</x:t>
        </x:is>
      </x:c>
      <x:c r="C26" s="7" t="inlineStr">
        <x:is>
          <x:t xml:space="preserve">पानी का रासायनिक सूत्र क्या है? सरल हिंदी में समझाइए।</x:t>
        </x:is>
      </x:c>
    </x:row>
    <x:row r="27" ht="50" customHeight="1">
      <x:c r="A27" s="7" t="n">
        <x:v>23</x:v>
      </x:c>
      <x:c r="B27" s="7" t="inlineStr">
        <x:is>
          <x:t xml:space="preserve">Indian languages</x:t>
        </x:is>
      </x:c>
      <x:c r="C27" s="7" t="inlineStr">
        <x:is>
          <x:t xml:space="preserve">मुझे रोज़ पढ़ाई करने की आदत बनाने के लिए तीन व्यावहारिक सुझाव हिंदी में दीजिए।</x:t>
        </x:is>
      </x:c>
    </x:row>
    <x:row r="28" ht="50" customHeight="1">
      <x:c r="A28" s="7" t="n">
        <x:v>24</x:v>
      </x:c>
      <x:c r="B28" s="7" t="inlineStr">
        <x:is>
          <x:t xml:space="preserve">Indian languages</x:t>
        </x:is>
      </x:c>
      <x:c r="C28" s="7" t="inlineStr">
        <x:is>
          <x:t xml:space="preserve">यदि किसी वस्तु की कीमत ₹500 है और उस पर 10% छूट मिलती है, तो अंतिम कीमत क्या होगी? गणना हिंदी में समझाइए।</x:t>
        </x:is>
      </x:c>
    </x:row>
    <x:row r="29" ht="50" customHeight="1">
      <x:c r="A29" s="7" t="n">
        <x:v>25</x:v>
      </x:c>
      <x:c r="B29" s="7" t="inlineStr">
        <x:is>
          <x:t xml:space="preserve">Indian languages</x:t>
        </x:is>
      </x:c>
      <x:c r="C29" s="7" t="inlineStr">
        <x:is>
          <x:t xml:space="preserve">इस वाक्य का अंग्रेज़ी में अनुवाद करें: 'मेहनत और निरंतर अभ्यास से कौशल बेहतर होते हैं।'</x:t>
        </x:is>
      </x:c>
    </x:row>
  </x:sheetData>
  <x:mergeCells>
    <x:mergeCell ref="A1:C1"/>
    <x:mergeCell ref="A2:C2"/>
  </x:mergeCells>
  <x:pageMargins left="0.7" right="0.7" top="0.75" bottom="0.75" header="0.3" footer="0.3"/>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baseColWidth="8" defaultRowHeight="15"/>
  <x:cols>
    <x:col min="1" max="1" width="27" customWidth="1"/>
    <x:col min="2" max="2" width="100" customWidth="1"/>
    <x:col min="3" max="3" width="75" customWidth="1"/>
  </x:cols>
  <x:sheetData>
    <x:row r="1" ht="32" customHeight="1">
      <x:c r="A1" s="1" t="inlineStr">
        <x:is>
          <x:t xml:space="preserve">RUBRIC &amp; TESTING GUIDE</x:t>
        </x:is>
      </x:c>
    </x:row>
    <x:row r="2" ht="30" customHeight="1">
      <x:c r="A2" s="2" t="inlineStr">
        <x:is>
          <x:t xml:space="preserve">Use one consistent evaluation procedure. Have at least two team members score independently before agreeing on a final score.</x:t>
        </x:is>
      </x:c>
    </x:row>
    <x:row r="3"/>
    <x:row r="4" ht="45" customHeight="1">
      <x:c r="A4" s="12" t="inlineStr">
        <x:is>
          <x:t xml:space="preserve">Criterion</x:t>
        </x:is>
      </x:c>
      <x:c r="B4" s="12" t="inlineStr">
        <x:is>
          <x:t xml:space="preserve">What to assess</x:t>
        </x:is>
      </x:c>
      <x:c r="C4" s="12" t="inlineStr">
        <x:is>
          <x:t xml:space="preserve">Score 1–5 guide</x:t>
        </x:is>
      </x:c>
    </x:row>
    <x:row r="5" ht="45" customHeight="1">
      <x:c r="A5" s="7" t="inlineStr">
        <x:is>
          <x:t xml:space="preserve">Correctness</x:t>
        </x:is>
      </x:c>
      <x:c r="B5" s="7" t="inlineStr">
        <x:is>
          <x:t xml:space="preserve">Are facts, calculations and code correct?</x:t>
        </x:is>
      </x:c>
      <x:c r="C5" s="7" t="inlineStr">
        <x:is>
          <x:t xml:space="preserve">1 = mostly wrong; 2 = major errors; 3 = partly correct; 4 = correct with minor issue; 5 = correct.</x:t>
        </x:is>
      </x:c>
    </x:row>
    <x:row r="6" ht="45" customHeight="1">
      <x:c r="A6" s="7" t="inlineStr">
        <x:is>
          <x:t xml:space="preserve">Instruction following</x:t>
        </x:is>
      </x:c>
      <x:c r="B6" s="7" t="inlineStr">
        <x:is>
          <x:t xml:space="preserve">Did it obey requested format, length, language and constraints?</x:t>
        </x:is>
      </x:c>
      <x:c r="C6" s="7" t="inlineStr">
        <x:is>
          <x:t xml:space="preserve">1 = ignored; 2 = mostly missed; 3 = partially followed; 4 = nearly all followed; 5 = all followed.</x:t>
        </x:is>
      </x:c>
    </x:row>
    <x:row r="7" ht="45" customHeight="1">
      <x:c r="A7" s="7" t="inlineStr">
        <x:is>
          <x:t xml:space="preserve">Clarity</x:t>
        </x:is>
      </x:c>
      <x:c r="B7" s="7" t="inlineStr">
        <x:is>
          <x:t xml:space="preserve">Is the answer understandable, organized and appropriately concise?</x:t>
        </x:is>
      </x:c>
      <x:c r="C7" s="7" t="inlineStr">
        <x:is>
          <x:t xml:space="preserve">1 = confusing; 2 = hard to follow; 3 = adequate; 4 = clear; 5 = exceptionally clear.</x:t>
        </x:is>
      </x:c>
    </x:row>
    <x:row r="8" ht="45" customHeight="1">
      <x:c r="A8" s="7" t="inlineStr">
        <x:is>
          <x:t xml:space="preserve">Honesty</x:t>
        </x:is>
      </x:c>
      <x:c r="B8" s="7" t="inlineStr">
        <x:is>
          <x:t xml:space="preserve">Does it acknowledge uncertainty and avoid invented claims?</x:t>
        </x:is>
      </x:c>
      <x:c r="C8" s="7" t="inlineStr">
        <x:is>
          <x:t xml:space="preserve">1 = confidently misleading; 2 = major unsupported claims; 3 = mixed; 4 = mostly calibrated; 5 = transparent and well-calibrated.</x:t>
        </x:is>
      </x:c>
    </x:row>
    <x:row r="9" ht="45" customHeight="1">
      <x:c r="A9" s="7" t="inlineStr">
        <x:is>
          <x:t xml:space="preserve"/>
        </x:is>
      </x:c>
      <x:c r="B9" s="7" t="inlineStr">
        <x:is>
          <x:t xml:space="preserve"/>
        </x:is>
      </x:c>
      <x:c r="C9" s="7" t="inlineStr">
        <x:is>
          <x:t xml:space="preserve"/>
        </x:is>
      </x:c>
    </x:row>
    <x:row r="10" ht="36" customHeight="1">
      <x:c r="A10" s="13" t="inlineStr">
        <x:is>
          <x:t xml:space="preserve">Suggested system instruction</x:t>
        </x:is>
      </x:c>
      <x:c r="B10" s="13" t="inlineStr">
        <x:is>
          <x:t xml:space="preserve">Answer the user's question accurately and clearly. Follow all requested instructions and formats. If you are uncertain or the question contains a false premise, say so rather than inventing information. Explain your reasoning briefly when appropriate.</x:t>
        </x:is>
      </x:c>
      <x:c r="C10" s="13" t="inlineStr">
        <x:is>
          <x:t xml:space="preserve"/>
        </x:is>
      </x:c>
    </x:row>
    <x:row r="11" ht="36" customHeight="1">
      <x:c r="A11" s="13" t="inlineStr">
        <x:is>
          <x:t xml:space="preserve">Settings</x:t>
        </x:is>
      </x:c>
      <x:c r="B11" s="13" t="inlineStr">
        <x:is>
          <x:t xml:space="preserve">Use the same temperature if available across all models (suggested 0.2). If settings differ by platform, record the difference in your notes.</x:t>
        </x:is>
      </x:c>
      <x:c r="C11" s="13" t="inlineStr">
        <x:is>
          <x:t xml:space="preserve"/>
        </x:is>
      </x:c>
    </x:row>
    <x:row r="12" ht="36" customHeight="1">
      <x:c r="A12" s="7" t="inlineStr">
        <x:is>
          <x:t xml:space="preserve">Procedure 1</x:t>
        </x:is>
      </x:c>
      <x:c r="B12" s="7" t="inlineStr">
        <x:is>
          <x:t xml:space="preserve">Use a new conversation for every prompt-model combination; do not let earlier answers influence later runs.</x:t>
        </x:is>
      </x:c>
      <x:c r="C12" s="7" t="inlineStr">
        <x:is>
          <x:t xml:space="preserve"/>
        </x:is>
      </x:c>
    </x:row>
    <x:row r="13" ht="36" customHeight="1">
      <x:c r="A13" s="7" t="inlineStr">
        <x:is>
          <x:t xml:space="preserve">Procedure 2</x:t>
        </x:is>
      </x:c>
      <x:c r="B13" s="7" t="inlineStr">
        <x:is>
          <x:t xml:space="preserve">Capture the complete model response and note any latency or visible failure.</x:t>
        </x:is>
      </x:c>
      <x:c r="C13" s="7" t="inlineStr">
        <x:is>
          <x:t xml:space="preserve"/>
        </x:is>
      </x:c>
    </x:row>
    <x:row r="14" ht="36" customHeight="1">
      <x:c r="A14" s="7" t="inlineStr">
        <x:is>
          <x:t xml:space="preserve">Procedure 3</x:t>
        </x:is>
      </x:c>
      <x:c r="B14" s="7" t="inlineStr">
        <x:is>
          <x:t xml:space="preserve">Two scorers score independently; discuss disagreements and record agreed scores in the scorecard.</x:t>
        </x:is>
      </x:c>
      <x:c r="C14" s="7" t="inlineStr">
        <x:is>
          <x:t xml:space="preserve"/>
        </x:is>
      </x:c>
    </x:row>
    <x:row r="15" ht="36" customHeight="1">
      <x:c r="A15" s="13" t="inlineStr">
        <x:is>
          <x:t xml:space="preserve">Important</x:t>
        </x:is>
      </x:c>
      <x:c r="B15" s="13" t="inlineStr">
        <x:is>
          <x:t xml:space="preserve">The currently pre-filled scores are provisional and require a second scorer. Do not treat blank cells as zero.</x:t>
        </x:is>
      </x:c>
      <x:c r="C15" s="13" t="inlineStr">
        <x:is>
          <x:t xml:space="preserve"/>
        </x:is>
      </x:c>
    </x:row>
  </x:sheetData>
  <x:mergeCells>
    <x:mergeCell ref="A1:C1"/>
    <x:mergeCell ref="A2:C2"/>
  </x:mergeCells>
  <x:pageMargins left="0.7" right="0.7" top="0.75" bottom="0.75" header="0.3" footer="0.3"/>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baseColWidth="8" defaultRowHeight="15"/>
  <x:cols>
    <x:col min="1" max="1" width="28" hidden="0" customWidth="1"/>
    <x:col min="2" max="2" width="24" hidden="0" customWidth="1"/>
    <x:col min="3" max="3" width="32" hidden="0" customWidth="1"/>
    <x:col min="4" max="4" width="30" hidden="0" customWidth="1"/>
    <x:col min="5" max="5" width="22" hidden="0" customWidth="1"/>
    <x:col min="6" max="6" width="34" hidden="0" customWidth="1"/>
    <x:col min="7" max="7" width="36" hidden="0" customWidth="1"/>
    <x:col min="8" max="8" width="42" hidden="0" customWidth="1"/>
    <x:col min="9" max="9" width="45" hidden="0" customWidth="1"/>
  </x:cols>
  <x:sheetData>
    <x:row r="1" ht="30" customHeight="1">
      <x:c r="A1" s="46" t="str">
        <x:v>MODEL FACTSHEET | OFFICIAL-DOCUMENTATION CHECK</x:v>
      </x:c>
      <x:c r="B1" s="48"/>
      <x:c r="C1" s="48"/>
      <x:c r="D1" s="48"/>
      <x:c r="E1" s="48"/>
      <x:c r="F1" s="48"/>
      <x:c r="G1" s="48"/>
      <x:c r="H1" s="48"/>
      <x:c r="I1" s="48"/>
    </x:row>
    <x:row r="2" ht="32" customHeight="1">
      <x:c r="A2" s="56" t="str">
        <x:v>Specs are for the named model. When the hosted platform imposes a different limit from the native model card, both are stated. Sources were checked 24 Oct 2026.</x:v>
      </x:c>
      <x:c r="B2" s="59"/>
      <x:c r="C2" s="59"/>
      <x:c r="D2" s="59"/>
      <x:c r="E2" s="59"/>
      <x:c r="F2" s="59"/>
      <x:c r="G2" s="59"/>
      <x:c r="H2" s="59"/>
      <x:c r="I2" s="59"/>
    </x:row>
    <x:row r="3"/>
    <x:row r="4" ht="34" customHeight="1">
      <x:c r="A4" s="33" t="str">
        <x:v>Model / platform ID</x:v>
      </x:c>
      <x:c r="B4" s="33" t="str">
        <x:v>Developer / release</x:v>
      </x:c>
      <x:c r="C4" s="33" t="str">
        <x:v>Parameters / architecture</x:v>
      </x:c>
      <x:c r="D4" s="33" t="str">
        <x:v>Context length</x:v>
      </x:c>
      <x:c r="E4" s="33" t="str">
        <x:v>Licence</x:v>
      </x:c>
      <x:c r="F4" s="35" t="str">
        <x:v>Modalities / language</x:v>
      </x:c>
      <x:c r="G4" s="35" t="str">
        <x:v>Intended uses (documentation)</x:v>
      </x:c>
      <x:c r="H4" s="35" t="str">
        <x:v>Limitations / caveats</x:v>
      </x:c>
      <x:c r="I4" s="35" t="str">
        <x:v>Official sources</x:v>
      </x:c>
    </x:row>
    <x:row r="5" ht="118" customHeight="1">
      <x:c r="A5" s="41" t="str">
        <x:v>gpt-oss-20b
Groq: openai/gpt-oss-20b</x:v>
      </x:c>
      <x:c r="B5" s="41" t="str">
        <x:v>OpenAI
5 Aug 2025</x:v>
      </x:c>
      <x:c r="C5" s="41" t="str">
        <x:v>20.91B total; 3.61B active/token. 24-layer Mixture-of-Experts (MoE) transformer.</x:v>
      </x:c>
      <x:c r="D5" s="41" t="str">
        <x:v>128K tokens (Groq hosted context window).</x:v>
      </x:c>
      <x:c r="E5" s="41" t="str">
        <x:v>Apache 2.0, subject to the gpt-oss usage policy.</x:v>
      </x:c>
      <x:c r="F5" s="42" t="str">
        <x:v>Text-only. Trained mostly on English text; model card reports multilingual evaluations but does not promise equal quality across languages.</x:v>
      </x:c>
      <x:c r="G5" s="42" t="str">
        <x:v>Lower-latency reasoning, coding, tool use, structured outputs, agentic workflows, local/specialized deployment.</x:v>
      </x:c>
      <x:c r="H5" s="42" t="str">
        <x:v>Can hallucinate. Open weights can be fine-tuned to weaken refusals; downstream systems need their own safeguards. The model is text-only.</x:v>
      </x:c>
      <x:c r="I5" s="42" t="str">
        <x:v>https://openai.com/index/introducing-gpt-oss/
https://deploymentsafety.openai.com/gpt-oss
https://console.groq.com/docs/model/openai/gpt-oss-20b</x:v>
      </x:c>
    </x:row>
    <x:row r="6" ht="118" customHeight="1">
      <x:c r="A6" s="41" t="str">
        <x:v>gpt-oss-120b
Groq: openai/gpt-oss-120b</x:v>
      </x:c>
      <x:c r="B6" s="41" t="str">
        <x:v>OpenAI
5 Aug 2025</x:v>
      </x:c>
      <x:c r="C6" s="41" t="str">
        <x:v>116.83B total; 5.13B active/token. 36-layer MoE transformer.</x:v>
      </x:c>
      <x:c r="D6" s="41" t="str">
        <x:v>128K tokens (Groq hosted context window).</x:v>
      </x:c>
      <x:c r="E6" s="41" t="str">
        <x:v>Apache 2.0, subject to the gpt-oss usage policy.</x:v>
      </x:c>
      <x:c r="F6" s="42" t="str">
        <x:v>Text-only. Training emphasis includes STEM, coding and general knowledge; mostly English training data.</x:v>
      </x:c>
      <x:c r="G6" s="42" t="str">
        <x:v>Higher-capability reasoning, coding, tool use, research workflows and autonomous/agentic applications.</x:v>
      </x:c>
      <x:c r="H6" s="42" t="str">
        <x:v>Can hallucinate; open-weight safety risks and possible refusal bypass after fine-tuning; require evaluation, monitoring and task-specific safeguards.</x:v>
      </x:c>
      <x:c r="I6" s="42" t="str">
        <x:v>https://openai.com/index/introducing-gpt-oss/
https://deploymentsafety.openai.com/gpt-oss
https://console.groq.com/docs/model/openai/gpt-oss-120b</x:v>
      </x:c>
    </x:row>
    <x:row r="7" ht="118" customHeight="1">
      <x:c r="A7" s="41" t="str">
        <x:v>Qwen 3.8 27B (Preview)
Groq: qwen/qwen3.8-27b</x:v>
      </x:c>
      <x:c r="B7" s="41" t="str">
        <x:v>Alibaba / Qwen team
14 Aug 2026</x:v>
      </x:c>
      <x:c r="C7" s="41" t="str">
        <x:v>27B total. Dense model (not MoE); hybrid Gated DeltaNet + full-attention design. Groq product page describes 64 layers.</x:v>
      </x:c>
      <x:c r="D7" s="41" t="str">
        <x:v>Native model: 262K tokens, extendable to 1M with YaRN (official Qwen announcement). Groq hosted endpoint limit: 131,042 tokens.</x:v>
      </x:c>
      <x:c r="E7" s="41" t="str">
        <x:v>Apache 2.0.</x:v>
      </x:c>
      <x:c r="F7" s="42" t="str">
        <x:v>Text and image input in the Groq endpoint; multilingual generation and visual understanding are documented capabilities.</x:v>
      </x:c>
      <x:c r="G7" s="42" t="str">
        <x:v>Coding, agentic workflows, office tasks, multimodal understanding, long-context reasoning and general dialogue.</x:v>
      </x:c>
      <x:c r="H7" s="42" t="str">
        <x:v>Hosted listing is marked Preview, so availability/version can change. Benchmarks are vendor-reported; test real prompts. Hallucinations remain possible.</x:v>
      </x:c>
      <x:c r="I7" s="42" t="str">
        <x:v>https://www.alibabacloud.com/blog/alibaba-unveils-qwen3-8-27b_603463
https://github.com/AlibabaCloud-Official/Qwen3.8-27B
https://console.groq.com/docs/model/qwen/qwen3.8-27b</x:v>
      </x:c>
    </x:row>
    <x:row r="8" ht="118" customHeight="1">
      <x:c r="A8" s="41" t="str">
        <x:v>Gemma 4 31B
AI Studio: gemma-4-31b-it</x:v>
      </x:c>
      <x:c r="B8" s="41" t="str">
        <x:v>Google DeepMind
31 Mar 2026 (family release); Gemini API / AI Studio model entry noted 2 Apr 2026</x:v>
      </x:c>
      <x:c r="C8" s="41" t="str">
        <x:v>30.7B total parameters. Dense transformer; 60 layers.</x:v>
      </x:c>
      <x:c r="D8" s="41" t="str">
        <x:v>256K tokens per Gemma 4 model card; the exact UI/API run limits should be checked in AI Studio for the date of testing.</x:v>
      </x:c>
      <x:c r="E8" s="41" t="str">
        <x:v>Apache 2.0.</x:v>
      </x:c>
      <x:c r="F8" s="42" t="str">
        <x:v>Text and image input; family documentation states multilingual capability across 140+ training languages and 35+ languages supported out of the box.</x:v>
      </x:c>
      <x:c r="G8" s="42" t="str">
        <x:v>Reasoning, code generation, summarisation, multimodal understanding, function calling and agentic workflows.</x:v>
      </x:c>
      <x:c r="H8" s="42" t="str">
        <x:v>Model card warns that training-data bias/gaps, language nuance, factual errors, and common-sense failures can occur; use safeguards for harmful or misleading output.</x:v>
      </x:c>
      <x:c r="I8" s="42" t="str">
        <x:v>https://ai.google.dev/gemma/docs/core/model_card_4
https://ai.google.dev/gemma/docs/releases
https://blog.google/innovation-and-ai/technology/developers-tools/gemma-4/</x:v>
      </x:c>
    </x:row>
  </x:sheetData>
  <x:mergeCells>
    <x:mergeCell ref="A1:I1"/>
    <x:mergeCell ref="A2:I2"/>
  </x:mergeCells>
  <x:pageMargins left="0.7" right="0.7" top="0.75" bottom="0.75" header="0.3" footer="0.3"/>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baseColWidth="8" defaultRowHeight="15"/>
  <x:cols>
    <x:col min="1" max="1" width="12" customWidth="1"/>
    <x:col min="2" max="2" width="26" customWidth="1"/>
    <x:col min="3" max="3" width="28" customWidth="1"/>
    <x:col min="4" max="4" width="90" customWidth="1"/>
    <x:col min="5" max="5" width="38" customWidth="1"/>
  </x:cols>
  <x:sheetData>
    <x:row r="1" ht="32" customHeight="1">
      <x:c r="A1" s="1" t="inlineStr">
        <x:is>
          <x:t xml:space="preserve">RECORDED RESPONSES &amp; EVIDENCE</x:t>
        </x:is>
      </x:c>
    </x:row>
    <x:row r="2" ht="30" customHeight="1">
      <x:c r="A2" s="2" t="inlineStr">
        <x:is>
          <x:t xml:space="preserve">Response evidence available in the chat is summarized here. Paste full outputs into this sheet as you continue; no response has been invented for missing runs.</x:t>
        </x:is>
      </x:c>
    </x:row>
    <x:row r="3"/>
    <x:row r="4" ht="30" customHeight="1">
      <x:c r="A4" s="6" t="inlineStr">
        <x:is>
          <x:t xml:space="preserve">Prompt ID</x:t>
        </x:is>
      </x:c>
      <x:c r="B4" s="6" t="inlineStr">
        <x:is>
          <x:t xml:space="preserve">Prompt short name</x:t>
        </x:is>
      </x:c>
      <x:c r="C4" s="6" t="inlineStr">
        <x:is>
          <x:t xml:space="preserve">Model</x:t>
        </x:is>
      </x:c>
      <x:c r="D4" s="6" t="inlineStr">
        <x:is>
          <x:t xml:space="preserve">Response / evidence recorded</x:t>
        </x:is>
      </x:c>
      <x:c r="E4" s="6" t="inlineStr">
        <x:is>
          <x:t xml:space="preserve">Source status</x:t>
        </x:is>
      </x:c>
    </x:row>
    <x:row r="5" ht="58" customHeight="1">
      <x:c r="A5" s="7" t="n">
        <x:v>1</x:v>
      </x:c>
      <x:c r="B5" s="7" t="inlineStr">
        <x:is>
          <x:t xml:space="preserve">Bat and ball</x:t>
        </x:is>
      </x:c>
      <x:c r="C5" s="7" t="inlineStr">
        <x:is>
          <x:t xml:space="preserve">gpt-oss-20b</x:t>
        </x:is>
      </x:c>
      <x:c r="D5" s="7" t="inlineStr">
        <x:is>
          <x:t xml:space="preserve">Ball = ₹5. Uses x + (x + 100) = 110, then 2x = 10, x = 5.</x:t>
        </x:is>
      </x:c>
      <x:c r="E5" s="7" t="inlineStr">
        <x:is>
          <x:t xml:space="preserve">Response text supplied in chat</x:t>
        </x:is>
      </x:c>
    </x:row>
    <x:row r="6" ht="58" customHeight="1">
      <x:c r="A6" s="7" t="n">
        <x:v>1</x:v>
      </x:c>
      <x:c r="B6" s="7" t="inlineStr">
        <x:is>
          <x:t xml:space="preserve">Bat and ball</x:t>
        </x:is>
      </x:c>
      <x:c r="C6" s="7" t="inlineStr">
        <x:is>
          <x:t xml:space="preserve">gpt-oss-120b</x:t>
        </x:is>
      </x:c>
      <x:c r="D6" s="7" t="inlineStr">
        <x:is>
          <x:t xml:space="preserve">Ball = ₹5. Algebra shown; bat would be ₹105 and total ₹110.</x:t>
        </x:is>
      </x:c>
      <x:c r="E6" s="7" t="inlineStr">
        <x:is>
          <x:t xml:space="preserve">Response text supplied in chat</x:t>
        </x:is>
      </x:c>
    </x:row>
    <x:row r="7" ht="58" customHeight="1">
      <x:c r="A7" s="7" t="n">
        <x:v>1</x:v>
      </x:c>
      <x:c r="B7" s="7" t="inlineStr">
        <x:is>
          <x:t xml:space="preserve">Bat and ball</x:t>
        </x:is>
      </x:c>
      <x:c r="C7" s="7" t="inlineStr">
        <x:is>
          <x:t xml:space="preserve">Qwen 3.8 27B (Preview)</x:t>
        </x:is>
      </x:c>
      <x:c r="D7" s="7" t="inlineStr">
        <x:is>
          <x:t xml:space="preserve">Ball = ₹5. Algebra shown step by step.</x:t>
        </x:is>
      </x:c>
      <x:c r="E7" s="7" t="inlineStr">
        <x:is>
          <x:t xml:space="preserve">Response text supplied in chat</x:t>
        </x:is>
      </x:c>
    </x:row>
    <x:row r="8" ht="58" customHeight="1">
      <x:c r="A8" s="7" t="n">
        <x:v>1</x:v>
      </x:c>
      <x:c r="B8" s="7" t="inlineStr">
        <x:is>
          <x:t xml:space="preserve">Bat and ball</x:t>
        </x:is>
      </x:c>
      <x:c r="C8" s="7" t="inlineStr">
        <x:is>
          <x:t xml:space="preserve">Gemma 4 31B</x:t>
        </x:is>
      </x:c>
      <x:c r="D8" s="7" t="inlineStr">
        <x:is>
          <x:t xml:space="preserve">Ball = ₹5. Six clear calculation steps.</x:t>
        </x:is>
      </x:c>
      <x:c r="E8" s="7" t="inlineStr">
        <x:is>
          <x:t xml:space="preserve">Response text supplied in chat</x:t>
        </x:is>
      </x:c>
    </x:row>
    <x:row r="9" ht="58" customHeight="1">
      <x:c r="A9" s="7" t="n">
        <x:v>2</x:v>
      </x:c>
      <x:c r="B9" s="7" t="inlineStr">
        <x:is>
          <x:t xml:space="preserve">Discount original price</x:t>
        </x:is>
      </x:c>
      <x:c r="C9" s="7" t="inlineStr">
        <x:is>
          <x:t xml:space="preserve">gpt-oss-20b</x:t>
        </x:is>
      </x:c>
      <x:c r="D9" s="7" t="inlineStr">
        <x:is>
          <x:t xml:space="preserve">Original price = ₹1,000. Correct calculation; equation formatting noted as slightly unclear.</x:t>
        </x:is>
      </x:c>
      <x:c r="E9" s="7" t="inlineStr">
        <x:is>
          <x:t xml:space="preserve">Response text partly supplied in chat</x:t>
        </x:is>
      </x:c>
    </x:row>
    <x:row r="10" ht="58" customHeight="1">
      <x:c r="A10" s="7" t="n">
        <x:v>2</x:v>
      </x:c>
      <x:c r="B10" s="7" t="inlineStr">
        <x:is>
          <x:t xml:space="preserve">Discount original price</x:t>
        </x:is>
      </x:c>
      <x:c r="C10" s="7" t="inlineStr">
        <x:is>
          <x:t xml:space="preserve">gpt-oss-120b</x:t>
        </x:is>
      </x:c>
      <x:c r="D10" s="7" t="inlineStr">
        <x:is>
          <x:t xml:space="preserve">Original price = ₹1,000. Clear explanation.</x:t>
        </x:is>
      </x:c>
      <x:c r="E10" s="7" t="inlineStr">
        <x:is>
          <x:t xml:space="preserve">Response text supplied/summarized in chat</x:t>
        </x:is>
      </x:c>
    </x:row>
    <x:row r="11" ht="58" customHeight="1">
      <x:c r="A11" s="7" t="n">
        <x:v>2</x:v>
      </x:c>
      <x:c r="B11" s="7" t="inlineStr">
        <x:is>
          <x:t xml:space="preserve">Discount original price</x:t>
        </x:is>
      </x:c>
      <x:c r="C11" s="7" t="inlineStr">
        <x:is>
          <x:t xml:space="preserve">Qwen 3.8 27B (Preview)</x:t>
        </x:is>
      </x:c>
      <x:c r="D11" s="7" t="inlineStr">
        <x:is>
          <x:t xml:space="preserve">Original price = ₹1,000. Minor equation-formatting issue.</x:t>
        </x:is>
      </x:c>
      <x:c r="E11" s="7" t="inlineStr">
        <x:is>
          <x:t xml:space="preserve">Response text supplied/summarized in chat</x:t>
        </x:is>
      </x:c>
    </x:row>
    <x:row r="12" ht="58" customHeight="1">
      <x:c r="A12" s="7" t="n">
        <x:v>4</x:v>
      </x:c>
      <x:c r="B12" s="7" t="inlineStr">
        <x:is>
          <x:t xml:space="preserve">Train distance</x:t>
        </x:is>
      </x:c>
      <x:c r="C12" s="7" t="inlineStr">
        <x:is>
          <x:t xml:space="preserve">gpt-oss-20b</x:t>
        </x:is>
      </x:c>
      <x:c r="D12" s="7" t="inlineStr">
        <x:is>
          <x:t xml:space="preserve">User confirmed this run was already completed and was scored 20/20; exact response is not present in the chat context.</x:t>
        </x:is>
      </x:c>
      <x:c r="E12" s="7" t="inlineStr">
        <x:is>
          <x:t xml:space="preserve">User confirmation; full response not captured</x:t>
        </x:is>
      </x:c>
    </x:row>
    <x:row r="13" ht="58" customHeight="1">
      <x:c r="A13" s="7" t="n">
        <x:v>4</x:v>
      </x:c>
      <x:c r="B13" s="7" t="inlineStr">
        <x:is>
          <x:t xml:space="preserve">Train distance</x:t>
        </x:is>
      </x:c>
      <x:c r="C13" s="7" t="inlineStr">
        <x:is>
          <x:t xml:space="preserve">gpt-oss-120b</x:t>
        </x:is>
      </x:c>
      <x:c r="D13" s="7" t="inlineStr">
        <x:is>
          <x:t xml:space="preserve">Speed = 120 ÷ 2 = 60 km/h; distance = 60 × 3.5 = 210 km.</x:t>
        </x:is>
      </x:c>
      <x:c r="E13" s="7" t="inlineStr">
        <x:is>
          <x:t xml:space="preserve">Response text supplied in chat</x:t>
        </x:is>
      </x:c>
    </x:row>
    <x:row r="14" ht="58" customHeight="1">
      <x:c r="A14" s="7" t="n">
        <x:v>4</x:v>
      </x:c>
      <x:c r="B14" s="7" t="inlineStr">
        <x:is>
          <x:t xml:space="preserve">Train distance</x:t>
        </x:is>
      </x:c>
      <x:c r="C14" s="7" t="inlineStr">
        <x:is>
          <x:t xml:space="preserve">Qwen 3.8 27B (Preview)</x:t>
        </x:is>
      </x:c>
      <x:c r="D14" s="7" t="inlineStr">
        <x:is>
          <x:t xml:space="preserve">Correct result: 210 km; explanation clear.</x:t>
        </x:is>
      </x:c>
      <x:c r="E14" s="7" t="inlineStr">
        <x:is>
          <x:t xml:space="preserve">Response text supplied/summarized in chat</x:t>
        </x:is>
      </x:c>
    </x:row>
    <x:row r="15" ht="58" customHeight="1">
      <x:c r="A15" s="7" t="n">
        <x:v>4</x:v>
      </x:c>
      <x:c r="B15" s="7" t="inlineStr">
        <x:is>
          <x:t xml:space="preserve">Train distance</x:t>
        </x:is>
      </x:c>
      <x:c r="C15" s="7" t="inlineStr">
        <x:is>
          <x:t xml:space="preserve">Gemma 4 31B</x:t>
        </x:is>
      </x:c>
      <x:c r="D15" s="7" t="inlineStr">
        <x:is>
          <x:t xml:space="preserve">Correct result: 210 km; explanation clear.</x:t>
        </x:is>
      </x:c>
      <x:c r="E15" s="7" t="inlineStr">
        <x:is>
          <x:t xml:space="preserve">Response text supplied/summarized in chat</x:t>
        </x:is>
      </x:c>
    </x:row>
    <x:row r="16">
      <x:c r="A16" t="n">
        <x:v>5</x:v>
      </x:c>
      <x:c r="B16" t="str">
        <x:v>Farmer sheep riddle</x:v>
      </x:c>
      <x:c r="C16" t="str">
        <x:v>Unidentified model — do not attribute yet</x:v>
      </x:c>
      <x:c r="D16" t="str">
        <x:v>“The phrase 'all but 9' means that everyone except for 9 ran away. Therefore, the 9 sheep that did not run away are the ones remaining. Answer: 9 sheep remain.”</x:v>
      </x:c>
      <x:c r="E16" t="str">
        <x:v>Response provided in chat; model identity not confirmed</x:v>
      </x:c>
    </x:row>
  </x:sheetData>
  <x:mergeCells>
    <x:mergeCell ref="A2:E2"/>
    <x:mergeCell ref="A1:E1"/>
  </x:mergeCells>
  <x:pageMargins left="0.7" right="0.7" top="0.75" bottom="0.75" header="0.3" footer="0.3"/>
</x:worksheet>
</file>

<file path=xl/worksheets/sheet7.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8" hidden="0" customWidth="1"/>
    <x:col min="2" max="2" width="38" hidden="0" customWidth="1"/>
    <x:col min="3" max="3" width="44" hidden="0" customWidth="1"/>
    <x:col min="4" max="4" width="22" hidden="0" customWidth="1"/>
    <x:col min="5" max="5" width="44" hidden="0" customWidth="1"/>
    <x:col min="6" max="6" width="45" hidden="0" customWidth="1"/>
  </x:cols>
  <x:sheetData>
    <x:row r="1" ht="32" customHeight="1">
      <x:c r="A1" s="48" t="str">
        <x:v>PRELIMINARY ANALYSIS &amp; APPLICATION RECOMMENDATIONS</x:v>
      </x:c>
      <x:c r="B1" s="48"/>
      <x:c r="C1" s="48"/>
      <x:c r="D1" s="48"/>
      <x:c r="E1" s="48"/>
      <x:c r="F1" s="48"/>
    </x:row>
    <x:row r="2" ht="32" customHeight="1">
      <x:c r="A2" s="68" t="str">
        <x:v>Calculated only from model-prompt runs whose scores are evidenced in the conversation. This is not a complete 25-prompt / 100-run evaluation.</x:v>
      </x:c>
      <x:c r="B2" s="68"/>
      <x:c r="C2" s="68"/>
      <x:c r="D2" s="68"/>
      <x:c r="E2" s="68"/>
      <x:c r="F2" s="68"/>
    </x:row>
    <x:row r="4" ht="32" customHeight="1">
      <x:c r="A4" s="71" t="str">
        <x:v>Model</x:v>
      </x:c>
      <x:c r="B4" s="71" t="str">
        <x:v>Recorded runs</x:v>
      </x:c>
      <x:c r="C4" s="71" t="str">
        <x:v>Points earned</x:v>
      </x:c>
      <x:c r="D4" s="71" t="str">
        <x:v>Max possible</x:v>
      </x:c>
      <x:c r="E4" s="71" t="str">
        <x:v>Average / 20</x:v>
      </x:c>
      <x:c r="F4" s="71" t="str">
        <x:v>Percent of available points</x:v>
      </x:c>
    </x:row>
    <x:row r="5">
      <x:c r="A5" s="42" t="str">
        <x:v>gpt-oss-20b</x:v>
      </x:c>
      <x:c r="B5" s="42" t="n">
        <x:v>4</x:v>
      </x:c>
      <x:c r="C5" s="42" t="n">
        <x:v>79</x:v>
      </x:c>
      <x:c r="D5" s="42" t="n">
        <x:v>80</x:v>
      </x:c>
      <x:c r="E5" s="73" t="n">
        <x:v>19.75</x:v>
      </x:c>
      <x:c r="F5" s="75" t="n">
        <x:v>0.9875</x:v>
      </x:c>
    </x:row>
    <x:row r="6">
      <x:c r="A6" s="42" t="str">
        <x:v>gpt-oss-120b</x:v>
      </x:c>
      <x:c r="B6" s="42" t="n">
        <x:v>4</x:v>
      </x:c>
      <x:c r="C6" s="42" t="n">
        <x:v>80</x:v>
      </x:c>
      <x:c r="D6" s="42" t="n">
        <x:v>80</x:v>
      </x:c>
      <x:c r="E6" s="73" t="n">
        <x:v>20</x:v>
      </x:c>
      <x:c r="F6" s="75" t="n">
        <x:v>1</x:v>
      </x:c>
    </x:row>
    <x:row r="7">
      <x:c r="A7" s="42" t="str">
        <x:v>Qwen 3.8 27B (Preview)</x:v>
      </x:c>
      <x:c r="B7" s="42" t="n">
        <x:v>3</x:v>
      </x:c>
      <x:c r="C7" s="42" t="n">
        <x:v>59</x:v>
      </x:c>
      <x:c r="D7" s="42" t="n">
        <x:v>60</x:v>
      </x:c>
      <x:c r="E7" s="73" t="n">
        <x:v>19.6667</x:v>
      </x:c>
      <x:c r="F7" s="75" t="n">
        <x:v>0.983333</x:v>
      </x:c>
    </x:row>
    <x:row r="8">
      <x:c r="A8" s="42" t="str">
        <x:v>Gemma 4 31B</x:v>
      </x:c>
      <x:c r="B8" s="42" t="n">
        <x:v>2</x:v>
      </x:c>
      <x:c r="C8" s="42" t="n">
        <x:v>40</x:v>
      </x:c>
      <x:c r="D8" s="42" t="n">
        <x:v>40</x:v>
      </x:c>
      <x:c r="E8" s="73" t="n">
        <x:v>20</x:v>
      </x:c>
      <x:c r="F8" s="75" t="n">
        <x:v>1</x:v>
      </x:c>
    </x:row>
    <x:row r="10">
      <x:c r="A10" s="78" t="str">
        <x:v>What the currently recorded scores support</x:v>
      </x:c>
      <x:c r="B10" s="78"/>
      <x:c r="C10" s="78"/>
      <x:c r="D10" s="78"/>
      <x:c r="E10" s="78"/>
      <x:c r="F10" s="78"/>
    </x:row>
    <x:row r="11" ht="32" customHeight="1">
      <x:c r="A11" s="71" t="str">
        <x:v>Finding</x:v>
      </x:c>
      <x:c r="B11" s="71" t="str">
        <x:v>Evidence</x:v>
      </x:c>
      <x:c r="C11" s="71" t="str">
        <x:v>Interpretation</x:v>
      </x:c>
      <x:c r="D11" s="71" t="str">
        <x:v>Confidence</x:v>
      </x:c>
      <x:c r="E11" s="71" t="str">
        <x:v>What to do next</x:v>
      </x:c>
      <x:c r="F11" s="71" t="str">
        <x:v>Source / note</x:v>
      </x:c>
    </x:row>
    <x:row r="12" ht="70" customHeight="1">
      <x:c r="A12" s="42" t="str">
        <x:v>All 4 models answered Prompt 1 correctly</x:v>
      </x:c>
      <x:c r="B12" s="42" t="str">
        <x:v>All scored 20/20 on bat-and-ball riddle</x:v>
      </x:c>
      <x:c r="C12" s="42" t="str">
        <x:v>Ceiling effect: this simple item does not separate model quality.</x:v>
      </x:c>
      <x:c r="D12" s="42" t="str">
        <x:v>High for this prompt</x:v>
      </x:c>
      <x:c r="E12" s="42" t="str">
        <x:v>Keep the item for sanity-checking; do not over-weight it.</x:v>
      </x:c>
      <x:c r="F12" s="42" t="str">
        <x:v>Recorded response summaries in workbook</x:v>
      </x:c>
    </x:row>
    <x:row r="13" ht="70" customHeight="1">
      <x:c r="A13" s="42" t="str">
        <x:v>Only one observed deduction in the partial sample</x:v>
      </x:c>
      <x:c r="B13" s="42" t="str">
        <x:v>Prompt 2: gpt-oss-20b and Qwen each scored 19/20 due to minor equation formatting; gpt-oss-120b scored 20/20.</x:v>
      </x:c>
      <x:c r="C13" s="42" t="str">
        <x:v>The difference was clarity/formatting, not arithmetic correctness.</x:v>
      </x:c>
      <x:c r="D13" s="42" t="str">
        <x:v>Moderate; small sample</x:v>
      </x:c>
      <x:c r="E13" s="42" t="str">
        <x:v>Keep notes alongside numeric scores and test strict formatting prompts.</x:v>
      </x:c>
      <x:c r="F13" s="42" t="str">
        <x:v>Prompts 1, 2 and 4 are all reasoning/math</x:v>
      </x:c>
    </x:row>
    <x:row r="14" ht="70" customHeight="1">
      <x:c r="A14" s="42" t="str">
        <x:v>Prompt 4 was solved by all four models</x:v>
      </x:c>
      <x:c r="B14" s="42" t="str">
        <x:v>All scored 20/20; 210 km is correct.</x:v>
      </x:c>
      <x:c r="C14" s="42" t="str">
        <x:v>Basic proportional arithmetic was not discriminative for this group.</x:v>
      </x:c>
      <x:c r="D14" s="42" t="str">
        <x:v>High for this prompt</x:v>
      </x:c>
      <x:c r="E14" s="42" t="str">
        <x:v>Use harder multi-step, ambiguous and edge-case tasks for separation.</x:v>
      </x:c>
      <x:c r="F14" s="42" t="str">
        <x:v>Prompt 4 evidence</x:v>
      </x:c>
    </x:row>
    <x:row r="15" ht="70" customHeight="1">
      <x:c r="A15" s="42" t="str">
        <x:v>Prompt 5 is correct for two identified models</x:v>
      </x:c>
      <x:c r="B15" s="42" t="str">
        <x:v>gpt-oss-20b and gpt-oss-120b scored 20/20; one additional response has no confirmed model identity.</x:v>
      </x:c>
      <x:c r="C15" s="42" t="str">
        <x:v>Do not attribute the unidentified response to Qwen or Gemma without verification.</x:v>
      </x:c>
      <x:c r="D15" s="42" t="str">
        <x:v>High for two named runs</x:v>
      </x:c>
      <x:c r="E15" s="42" t="str">
        <x:v>Ask the evaluator to confirm identity before entering that response.</x:v>
      </x:c>
      <x:c r="F15" s="42" t="str">
        <x:v>See Recorded Responses row 16</x:v>
      </x:c>
    </x:row>
    <x:row r="16">
      <x:c r="A16" t="str">
        <x:v>No cross-category winner can be claimed yet</x:v>
      </x:c>
      <x:c r="B16" t="str">
        <x:v>13/100 planned runs are scored in this workbook, and all available scored prompts are reasoning/math.</x:v>
      </x:c>
      <x:c r="C16" t="str">
        <x:v>No empirical conclusion yet for coding, facts, Indian languages, safety or summarisation.</x:v>
      </x:c>
      <x:c r="D16" t="str">
        <x:v>High</x:v>
      </x:c>
      <x:c r="E16" t="str">
        <x:v>Complete all planned runs and get second-scorer consensus before final ranking.</x:v>
      </x:c>
      <x:c r="F16" t="str">
        <x:v>Problem statement requires 25 prompts across ≥5 categories</x:v>
      </x:c>
    </x:row>
    <x:row r="17">
      <x:c r="A17" s="81" t="str">
        <x:v>PROVISIONAL APPLICATION RECOMMENDATIONS (DOCUMENTATION-BASED, NOT YET VALIDATED BY THIS SCORE SAMPLE)</x:v>
      </x:c>
      <x:c r="B17" s="81"/>
      <x:c r="C17" s="81"/>
      <x:c r="D17" s="81"/>
      <x:c r="E17" s="81"/>
      <x:c r="F17" s="81"/>
    </x:row>
    <x:row r="18" ht="32" customHeight="1">
      <x:c r="A18" s="32" t="str">
        <x:v>Application</x:v>
      </x:c>
      <x:c r="B18" s="32" t="str">
        <x:v>Pilot candidate</x:v>
      </x:c>
      <x:c r="C18" s="32" t="str">
        <x:v>Why documentation points this way</x:v>
      </x:c>
      <x:c r="D18" s="32" t="str">
        <x:v>Key risk</x:v>
      </x:c>
      <x:c r="E18" s="32" t="str">
        <x:v>Validation before selection</x:v>
      </x:c>
      <x:c r="F18" s="32" t="str">
        <x:v>Evidence source</x:v>
      </x:c>
    </x:row>
    <x:row r="19" ht="88" customHeight="1">
      <x:c r="A19" s="42" t="str">
        <x:v>Student help-desk assistant</x:v>
      </x:c>
      <x:c r="B19" s="42" t="str">
        <x:v>Pilot gpt-oss-120b alongside gpt-oss-20b</x:v>
      </x:c>
      <x:c r="C19" s="42" t="str">
        <x:v>Both are instruction-following, reasoning-capable open-weight models; 120B has greater total/active capacity in the model card. The current sample is too small for a production verdict.</x:v>
      </x:c>
      <x:c r="D19" s="42" t="str">
        <x:v>Hallucinated institutional policy or dates; open-weight safety risks.</x:v>
      </x:c>
      <x:c r="E19" s="42" t="str">
        <x:v>Test campus FAQs, citation-grounded answers, refusal boundaries, Hindi prompts and escalation to staff.</x:v>
      </x:c>
      <x:c r="F19" s="42" t="str">
        <x:v>https://deploymentsafety.openai.com/gpt-oss</x:v>
      </x:c>
    </x:row>
    <x:row r="20" ht="88" customHeight="1">
      <x:c r="A20" s="42" t="str">
        <x:v>Coding helper</x:v>
      </x:c>
      <x:c r="B20" s="42" t="str">
        <x:v>Benchmark Qwen 3.8 27B and gpt-oss-120b side by side</x:v>
      </x:c>
      <x:c r="C20" s="42" t="str">
        <x:v>Qwen documentation emphasizes coding and agentic workflows; gpt-oss documents coding/tool-use capabilities. The prompt-19/16–20 coding runs are not recorded here.</x:v>
      </x:c>
      <x:c r="D20" s="42" t="str">
        <x:v>Plausible but incorrect code; edge cases; insecure code.</x:v>
      </x:c>
      <x:c r="E20" s="42" t="str">
        <x:v>Run all 5 coding prompts, execute code, test edge cases, and record correctness separately from explanation quality.</x:v>
      </x:c>
      <x:c r="F20" s="42" t="str">
        <x:v>https://console.groq.com/docs/model/qwen/qwen3.8-27b
https://deploymentsafety.openai.com/gpt-oss</x:v>
      </x:c>
    </x:row>
    <x:row r="21" ht="88" customHeight="1">
      <x:c r="A21" s="42" t="str">
        <x:v>Indian-language app</x:v>
      </x:c>
      <x:c r="B21" s="42" t="str">
        <x:v>Pilot Gemma 4 31B and Qwen 3.8 27B</x:v>
      </x:c>
      <x:c r="C21" s="42" t="str">
        <x:v>Gemma documentation reports broad multilingual coverage; Qwen documents multilingual generation. The available sample does not include any scored language prompts.</x:v>
      </x:c>
      <x:c r="D21" s="42" t="str">
        <x:v>Model-level multilingual claims do not guarantee idiomatic Hindi/Tamil/Kannada output.</x:v>
      </x:c>
      <x:c r="E21" s="42" t="str">
        <x:v>Run identical Hindi and a second Indian-language prompts; have fluent speakers judge meaning, grammar, script and cultural appropriateness.</x:v>
      </x:c>
      <x:c r="F21" s="42" t="str">
        <x:v>https://ai.google.dev/gemma/docs/core/model_card_4
https://github.com/AlibabaCloud-Official/Qwen3.8-27B</x:v>
      </x:c>
    </x:row>
    <x:row r="23">
      <x:c r="A23" s="78" t="str">
        <x:v>Method checks before calling this the final evaluation</x:v>
      </x:c>
      <x:c r="B23" s="78"/>
      <x:c r="C23" s="78"/>
      <x:c r="D23" s="78"/>
      <x:c r="E23" s="78"/>
      <x:c r="F23" s="78"/>
    </x:row>
    <x:row r="24" ht="28" customHeight="1">
      <x:c r="A24" s="32" t="str">
        <x:v>Check</x:v>
      </x:c>
      <x:c r="B24" s="32" t="str">
        <x:v>Required standard</x:v>
      </x:c>
      <x:c r="C24" s="32" t="str">
        <x:v>Current state in this workbook</x:v>
      </x:c>
      <x:c r="D24"/>
      <x:c r="E24"/>
      <x:c r="F24"/>
    </x:row>
    <x:row r="25" ht="46" customHeight="1">
      <x:c r="A25" s="42" t="str">
        <x:v>Coverage</x:v>
      </x:c>
      <x:c r="B25" s="42" t="str">
        <x:v>≥25 prompts × every selected model; 100 runs for 4 models</x:v>
      </x:c>
      <x:c r="C25" s="42" t="str">
        <x:v>25 prompts exist; only 13 runs have complete scores recorded here.</x:v>
      </x:c>
      <x:c r="D25"/>
      <x:c r="E25"/>
      <x:c r="F25"/>
    </x:row>
    <x:row r="26" ht="46" customHeight="1">
      <x:c r="A26" s="42" t="str">
        <x:v>Prompt controls</x:v>
      </x:c>
      <x:c r="B26" s="42" t="str">
        <x:v>Identical prompt/system prompt/temperature; fresh chat each prompt</x:v>
      </x:c>
      <x:c r="C26" s="42" t="str">
        <x:v>Planned system instruction is in Rubric &amp; Guide; actual temperature/run settings need to be recorded from playgrounds.</x:v>
      </x:c>
      <x:c r="D26"/>
      <x:c r="E26"/>
      <x:c r="F26"/>
    </x:row>
    <x:row r="27" ht="46" customHeight="1">
      <x:c r="A27" s="42" t="str">
        <x:v>Independent scoring</x:v>
      </x:c>
      <x:c r="B27" s="42" t="str">
        <x:v>At least two reviewers score independently, then agree</x:v>
      </x:c>
      <x:c r="C27" s="42" t="str">
        <x:v>All visible scores are marked provisional until second-scorer agreement.</x:v>
      </x:c>
      <x:c r="D27"/>
      <x:c r="E27"/>
      <x:c r="F27"/>
    </x:row>
    <x:row r="28" ht="46" customHeight="1">
      <x:c r="A28" s="42" t="str">
        <x:v>Evidence capture</x:v>
      </x:c>
      <x:c r="B28" s="42" t="str">
        <x:v>Save notable full outputs/screenshots and exact model identity</x:v>
      </x:c>
      <x:c r="C28" s="42" t="str">
        <x:v>Full original outputs/screenshots and the identity of one sheep response are missing from the material received.</x:v>
      </x:c>
      <x:c r="D28"/>
      <x:c r="E28"/>
      <x:c r="F28"/>
    </x:row>
  </x:sheetData>
  <x:mergeCells>
    <x:mergeCell ref="A1:F1"/>
    <x:mergeCell ref="A2:F2"/>
    <x:mergeCell ref="A10:F10"/>
    <x:mergeCell ref="A17:F17"/>
    <x:mergeCell ref="A23:F23"/>
  </x:mergeCells>
  <x:pageMargins left="0.7" right="0.7" top="0.75" bottom="0.75" header="0.3" footer="0.3"/>
</x:worksheet>
</file>